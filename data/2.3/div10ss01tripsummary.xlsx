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gy\OneDrive - University of Houston-Clear Lake\Documents\Research\simuCarlin\div10ss01trip\"/>
    </mc:Choice>
  </mc:AlternateContent>
  <xr:revisionPtr revIDLastSave="0" documentId="13_ncr:1_{7AF66F74-9517-4385-83D7-9A6EF1C6EE46}" xr6:coauthVersionLast="47" xr6:coauthVersionMax="47" xr10:uidLastSave="{00000000-0000-0000-0000-000000000000}"/>
  <bookViews>
    <workbookView xWindow="-98" yWindow="-98" windowWidth="20715" windowHeight="13155" xr2:uid="{5E5E1390-5F26-4FA7-AB82-E27107303A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7" i="1" l="1"/>
  <c r="AA67" i="1"/>
  <c r="Z67" i="1"/>
  <c r="Y67" i="1"/>
  <c r="X67" i="1"/>
  <c r="W67" i="1"/>
  <c r="U67" i="1"/>
  <c r="T67" i="1"/>
  <c r="S67" i="1"/>
  <c r="R67" i="1"/>
  <c r="Q67" i="1"/>
  <c r="P67" i="1"/>
  <c r="N67" i="1"/>
  <c r="M67" i="1"/>
  <c r="L67" i="1"/>
  <c r="K67" i="1"/>
  <c r="J67" i="1"/>
  <c r="I67" i="1"/>
  <c r="G67" i="1"/>
  <c r="F67" i="1"/>
  <c r="E67" i="1"/>
  <c r="D67" i="1"/>
  <c r="C67" i="1"/>
  <c r="B67" i="1"/>
  <c r="AB66" i="1"/>
  <c r="AA66" i="1"/>
  <c r="Z66" i="1"/>
  <c r="Y66" i="1"/>
  <c r="X66" i="1"/>
  <c r="W66" i="1"/>
  <c r="U66" i="1"/>
  <c r="T66" i="1"/>
  <c r="S66" i="1"/>
  <c r="R66" i="1"/>
  <c r="Q66" i="1"/>
  <c r="P66" i="1"/>
  <c r="N66" i="1"/>
  <c r="M66" i="1"/>
  <c r="L66" i="1"/>
  <c r="K66" i="1"/>
  <c r="J66" i="1"/>
  <c r="I66" i="1"/>
  <c r="G66" i="1"/>
  <c r="F66" i="1"/>
  <c r="E66" i="1"/>
  <c r="D66" i="1"/>
  <c r="C66" i="1"/>
  <c r="B66" i="1"/>
  <c r="AB65" i="1"/>
  <c r="AA65" i="1"/>
  <c r="Z65" i="1"/>
  <c r="Y65" i="1"/>
  <c r="X65" i="1"/>
  <c r="W65" i="1"/>
  <c r="U65" i="1"/>
  <c r="T65" i="1"/>
  <c r="S65" i="1"/>
  <c r="R65" i="1"/>
  <c r="Q65" i="1"/>
  <c r="P65" i="1"/>
  <c r="N65" i="1"/>
  <c r="M65" i="1"/>
  <c r="L65" i="1"/>
  <c r="K65" i="1"/>
  <c r="J65" i="1"/>
  <c r="I65" i="1"/>
  <c r="G65" i="1"/>
  <c r="F65" i="1"/>
  <c r="E65" i="1"/>
  <c r="D65" i="1"/>
  <c r="C65" i="1"/>
  <c r="B65" i="1"/>
  <c r="AB64" i="1"/>
  <c r="AA64" i="1"/>
  <c r="Z64" i="1"/>
  <c r="Y64" i="1"/>
  <c r="X64" i="1"/>
  <c r="W64" i="1"/>
  <c r="U64" i="1"/>
  <c r="T64" i="1"/>
  <c r="S64" i="1"/>
  <c r="R64" i="1"/>
  <c r="Q64" i="1"/>
  <c r="P64" i="1"/>
  <c r="N64" i="1"/>
  <c r="M64" i="1"/>
  <c r="L64" i="1"/>
  <c r="K64" i="1"/>
  <c r="J64" i="1"/>
  <c r="I64" i="1"/>
  <c r="G64" i="1"/>
  <c r="F64" i="1"/>
  <c r="E64" i="1"/>
  <c r="D64" i="1"/>
  <c r="C64" i="1"/>
  <c r="B64" i="1"/>
  <c r="AB60" i="1"/>
  <c r="AA60" i="1"/>
  <c r="Z60" i="1"/>
  <c r="Y60" i="1"/>
  <c r="X60" i="1"/>
  <c r="W60" i="1"/>
  <c r="U60" i="1"/>
  <c r="T60" i="1"/>
  <c r="S60" i="1"/>
  <c r="R60" i="1"/>
  <c r="Q60" i="1"/>
  <c r="P60" i="1"/>
  <c r="N60" i="1"/>
  <c r="M60" i="1"/>
  <c r="L60" i="1"/>
  <c r="K60" i="1"/>
  <c r="J60" i="1"/>
  <c r="I60" i="1"/>
  <c r="G60" i="1"/>
  <c r="F60" i="1"/>
  <c r="E60" i="1"/>
  <c r="D60" i="1"/>
  <c r="C60" i="1"/>
  <c r="B60" i="1"/>
  <c r="AB59" i="1"/>
  <c r="AA59" i="1"/>
  <c r="Z59" i="1"/>
  <c r="Y59" i="1"/>
  <c r="X59" i="1"/>
  <c r="W59" i="1"/>
  <c r="U59" i="1"/>
  <c r="T59" i="1"/>
  <c r="S59" i="1"/>
  <c r="R59" i="1"/>
  <c r="Q59" i="1"/>
  <c r="P59" i="1"/>
  <c r="N59" i="1"/>
  <c r="M59" i="1"/>
  <c r="L59" i="1"/>
  <c r="K59" i="1"/>
  <c r="J59" i="1"/>
  <c r="I59" i="1"/>
  <c r="G59" i="1"/>
  <c r="F59" i="1"/>
  <c r="E59" i="1"/>
  <c r="D59" i="1"/>
  <c r="C59" i="1"/>
  <c r="B59" i="1"/>
  <c r="AB58" i="1"/>
  <c r="AA58" i="1"/>
  <c r="Z58" i="1"/>
  <c r="Y58" i="1"/>
  <c r="X58" i="1"/>
  <c r="W58" i="1"/>
  <c r="U58" i="1"/>
  <c r="T58" i="1"/>
  <c r="S58" i="1"/>
  <c r="R58" i="1"/>
  <c r="Q58" i="1"/>
  <c r="P58" i="1"/>
  <c r="N58" i="1"/>
  <c r="M58" i="1"/>
  <c r="L58" i="1"/>
  <c r="K58" i="1"/>
  <c r="J58" i="1"/>
  <c r="I58" i="1"/>
  <c r="G58" i="1"/>
  <c r="F58" i="1"/>
  <c r="E58" i="1"/>
  <c r="D58" i="1"/>
  <c r="C58" i="1"/>
  <c r="B58" i="1"/>
  <c r="AB57" i="1"/>
  <c r="AA57" i="1"/>
  <c r="Z57" i="1"/>
  <c r="Y57" i="1"/>
  <c r="X57" i="1"/>
  <c r="W57" i="1"/>
  <c r="U57" i="1"/>
  <c r="T57" i="1"/>
  <c r="S57" i="1"/>
  <c r="R57" i="1"/>
  <c r="Q57" i="1"/>
  <c r="P57" i="1"/>
  <c r="N57" i="1"/>
  <c r="M57" i="1"/>
  <c r="L57" i="1"/>
  <c r="K57" i="1"/>
  <c r="J57" i="1"/>
  <c r="I57" i="1"/>
  <c r="G57" i="1"/>
  <c r="F57" i="1"/>
  <c r="E57" i="1"/>
  <c r="D57" i="1"/>
  <c r="C57" i="1"/>
  <c r="B57" i="1"/>
  <c r="AB53" i="1"/>
  <c r="AA53" i="1"/>
  <c r="Z53" i="1"/>
  <c r="Y53" i="1"/>
  <c r="X53" i="1"/>
  <c r="W53" i="1"/>
  <c r="U53" i="1"/>
  <c r="T53" i="1"/>
  <c r="S53" i="1"/>
  <c r="R53" i="1"/>
  <c r="Q53" i="1"/>
  <c r="P53" i="1"/>
  <c r="N53" i="1"/>
  <c r="M53" i="1"/>
  <c r="L53" i="1"/>
  <c r="K53" i="1"/>
  <c r="J53" i="1"/>
  <c r="I53" i="1"/>
  <c r="G53" i="1"/>
  <c r="F53" i="1"/>
  <c r="E53" i="1"/>
  <c r="D53" i="1"/>
  <c r="C53" i="1"/>
  <c r="B53" i="1"/>
  <c r="AB40" i="1"/>
  <c r="AA40" i="1"/>
  <c r="Z40" i="1"/>
  <c r="Y40" i="1"/>
  <c r="X40" i="1"/>
  <c r="W40" i="1"/>
  <c r="U40" i="1"/>
  <c r="T40" i="1"/>
  <c r="S40" i="1"/>
  <c r="R40" i="1"/>
  <c r="Q40" i="1"/>
  <c r="P40" i="1"/>
  <c r="N40" i="1"/>
  <c r="M40" i="1"/>
  <c r="L40" i="1"/>
  <c r="K40" i="1"/>
  <c r="J40" i="1"/>
  <c r="I40" i="1"/>
  <c r="G40" i="1"/>
  <c r="F40" i="1"/>
  <c r="E40" i="1"/>
  <c r="D40" i="1"/>
  <c r="C40" i="1"/>
  <c r="B40" i="1"/>
  <c r="AB27" i="1"/>
  <c r="AA27" i="1"/>
  <c r="Z27" i="1"/>
  <c r="Y27" i="1"/>
  <c r="X27" i="1"/>
  <c r="W27" i="1"/>
  <c r="U27" i="1"/>
  <c r="T27" i="1"/>
  <c r="S27" i="1"/>
  <c r="R27" i="1"/>
  <c r="Q27" i="1"/>
  <c r="P27" i="1"/>
  <c r="N27" i="1"/>
  <c r="M27" i="1"/>
  <c r="L27" i="1"/>
  <c r="K27" i="1"/>
  <c r="J27" i="1"/>
  <c r="I27" i="1"/>
  <c r="G27" i="1"/>
  <c r="F27" i="1"/>
  <c r="E27" i="1"/>
  <c r="D27" i="1"/>
  <c r="C27" i="1"/>
  <c r="B27" i="1"/>
  <c r="AB14" i="1"/>
  <c r="AA14" i="1"/>
  <c r="Z14" i="1"/>
  <c r="Y14" i="1"/>
  <c r="X14" i="1"/>
  <c r="W14" i="1"/>
  <c r="U14" i="1"/>
  <c r="T14" i="1"/>
  <c r="S14" i="1"/>
  <c r="R14" i="1"/>
  <c r="Q14" i="1"/>
  <c r="P14" i="1"/>
  <c r="N14" i="1"/>
  <c r="M14" i="1"/>
  <c r="L14" i="1"/>
  <c r="K14" i="1"/>
  <c r="J14" i="1"/>
  <c r="I14" i="1"/>
  <c r="C14" i="1"/>
  <c r="D14" i="1"/>
  <c r="E14" i="1"/>
  <c r="F14" i="1"/>
  <c r="G14" i="1"/>
  <c r="B14" i="1"/>
  <c r="AB52" i="1"/>
  <c r="AA52" i="1"/>
  <c r="Z52" i="1"/>
  <c r="Y52" i="1"/>
  <c r="X52" i="1"/>
  <c r="W52" i="1"/>
  <c r="U52" i="1"/>
  <c r="T52" i="1"/>
  <c r="S52" i="1"/>
  <c r="R52" i="1"/>
  <c r="Q52" i="1"/>
  <c r="P52" i="1"/>
  <c r="N52" i="1"/>
  <c r="M52" i="1"/>
  <c r="L52" i="1"/>
  <c r="K52" i="1"/>
  <c r="J52" i="1"/>
  <c r="I52" i="1"/>
  <c r="G52" i="1"/>
  <c r="F52" i="1"/>
  <c r="E52" i="1"/>
  <c r="D52" i="1"/>
  <c r="C52" i="1"/>
  <c r="B52" i="1"/>
  <c r="AB39" i="1"/>
  <c r="AA39" i="1"/>
  <c r="Z39" i="1"/>
  <c r="Y39" i="1"/>
  <c r="X39" i="1"/>
  <c r="W39" i="1"/>
  <c r="U39" i="1"/>
  <c r="T39" i="1"/>
  <c r="S39" i="1"/>
  <c r="R39" i="1"/>
  <c r="Q39" i="1"/>
  <c r="P39" i="1"/>
  <c r="N39" i="1"/>
  <c r="M39" i="1"/>
  <c r="L39" i="1"/>
  <c r="K39" i="1"/>
  <c r="J39" i="1"/>
  <c r="I39" i="1"/>
  <c r="G39" i="1"/>
  <c r="F39" i="1"/>
  <c r="E39" i="1"/>
  <c r="D39" i="1"/>
  <c r="C39" i="1"/>
  <c r="B39" i="1"/>
  <c r="AB26" i="1"/>
  <c r="AA26" i="1"/>
  <c r="Z26" i="1"/>
  <c r="Y26" i="1"/>
  <c r="X26" i="1"/>
  <c r="W26" i="1"/>
  <c r="U26" i="1"/>
  <c r="T26" i="1"/>
  <c r="S26" i="1"/>
  <c r="R26" i="1"/>
  <c r="Q26" i="1"/>
  <c r="P26" i="1"/>
  <c r="N26" i="1"/>
  <c r="M26" i="1"/>
  <c r="L26" i="1"/>
  <c r="K26" i="1"/>
  <c r="J26" i="1"/>
  <c r="I26" i="1"/>
  <c r="G26" i="1"/>
  <c r="F26" i="1"/>
  <c r="E26" i="1"/>
  <c r="D26" i="1"/>
  <c r="C26" i="1"/>
  <c r="B26" i="1"/>
  <c r="AB13" i="1"/>
  <c r="AA13" i="1"/>
  <c r="Z13" i="1"/>
  <c r="Y13" i="1"/>
  <c r="X13" i="1"/>
  <c r="W13" i="1"/>
  <c r="U13" i="1"/>
  <c r="T13" i="1"/>
  <c r="S13" i="1"/>
  <c r="R13" i="1"/>
  <c r="Q13" i="1"/>
  <c r="P13" i="1"/>
  <c r="N13" i="1"/>
  <c r="M13" i="1"/>
  <c r="L13" i="1"/>
  <c r="K13" i="1"/>
  <c r="J13" i="1"/>
  <c r="I13" i="1"/>
  <c r="C13" i="1"/>
  <c r="D13" i="1"/>
  <c r="E13" i="1"/>
  <c r="F13" i="1"/>
  <c r="G13" i="1"/>
  <c r="B13" i="1"/>
</calcChain>
</file>

<file path=xl/sharedStrings.xml><?xml version="1.0" encoding="utf-8"?>
<sst xmlns="http://schemas.openxmlformats.org/spreadsheetml/2006/main" count="36" uniqueCount="22">
  <si>
    <t>tarn = 2</t>
  </si>
  <si>
    <t>tanlen = 2</t>
  </si>
  <si>
    <t>carlin all</t>
  </si>
  <si>
    <t>carlin div</t>
  </si>
  <si>
    <t>tw all</t>
  </si>
  <si>
    <t>tw div</t>
  </si>
  <si>
    <t>tw triplet</t>
  </si>
  <si>
    <t>carlin triplet</t>
  </si>
  <si>
    <t>tanlen = 3</t>
  </si>
  <si>
    <t>tanlen = 4</t>
  </si>
  <si>
    <t>tanlen = 5</t>
  </si>
  <si>
    <t>tarn = 7</t>
  </si>
  <si>
    <t>tarn = 12</t>
  </si>
  <si>
    <t>tarn = 17</t>
  </si>
  <si>
    <t>avg</t>
  </si>
  <si>
    <t>max</t>
  </si>
  <si>
    <t>summary</t>
  </si>
  <si>
    <t>tarlen=2</t>
  </si>
  <si>
    <t>tarlen=3</t>
  </si>
  <si>
    <t>tarlen=4</t>
  </si>
  <si>
    <t>tarlen=5</t>
  </si>
  <si>
    <t>tarn=2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</si>
</sst>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Sheet1!$B$57:$B$60</c:f>
              <c:numCache>
                <c:formatCode>General</c:formatCode>
                <c:ptCount val="4"/>
                <c:pt idx="0">
                  <c:v>9.7871957091600823</c:v>
                </c:pt>
                <c:pt idx="1">
                  <c:v>9.9513791856472729</c:v>
                </c:pt>
                <c:pt idx="2">
                  <c:v>6.3265553022873515</c:v>
                </c:pt>
                <c:pt idx="3">
                  <c:v>8.5965655173666953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3-4712-9649-C20CE7FC110C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Sheet1!$C$57:$C$60</c:f>
              <c:numCache>
                <c:formatCode>General</c:formatCode>
                <c:ptCount val="4"/>
                <c:pt idx="0">
                  <c:v>7.9207920792079252</c:v>
                </c:pt>
                <c:pt idx="1">
                  <c:v>9.3069306930693116</c:v>
                </c:pt>
                <c:pt idx="2">
                  <c:v>7.2277227722772341</c:v>
                </c:pt>
                <c:pt idx="3">
                  <c:v>8.9108910891089188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63-4712-9649-C20CE7FC110C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Sheet1!$D$57:$D$60</c:f>
              <c:numCache>
                <c:formatCode>General</c:formatCode>
                <c:ptCount val="4"/>
                <c:pt idx="0">
                  <c:v>27.869528748116089</c:v>
                </c:pt>
                <c:pt idx="1">
                  <c:v>18.193840938418806</c:v>
                </c:pt>
                <c:pt idx="2">
                  <c:v>13.698497382740305</c:v>
                </c:pt>
                <c:pt idx="3">
                  <c:v>15.441593944330197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63-4712-9649-C20CE7FC110C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Sheet1!$E$57:$E$60</c:f>
              <c:numCache>
                <c:formatCode>General</c:formatCode>
                <c:ptCount val="4"/>
                <c:pt idx="0">
                  <c:v>6.3366336633663387</c:v>
                </c:pt>
                <c:pt idx="1">
                  <c:v>12.475247524752486</c:v>
                </c:pt>
                <c:pt idx="2">
                  <c:v>10.396039603960402</c:v>
                </c:pt>
                <c:pt idx="3">
                  <c:v>10.891089108910901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63-4712-9649-C20CE7FC110C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Sheet1!$F$57:$F$60</c:f>
              <c:numCache>
                <c:formatCode>General</c:formatCode>
                <c:ptCount val="4"/>
                <c:pt idx="0">
                  <c:v>55.324538735998075</c:v>
                </c:pt>
                <c:pt idx="1">
                  <c:v>56.75840113994267</c:v>
                </c:pt>
                <c:pt idx="2">
                  <c:v>56.093321496627098</c:v>
                </c:pt>
                <c:pt idx="3">
                  <c:v>58.83014515043736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63-4712-9649-C20CE7FC110C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Sheet1!$G$57:$G$60</c:f>
              <c:numCache>
                <c:formatCode>General</c:formatCode>
                <c:ptCount val="4"/>
                <c:pt idx="0">
                  <c:v>41.083793702042968</c:v>
                </c:pt>
                <c:pt idx="1">
                  <c:v>67.327411210567078</c:v>
                </c:pt>
                <c:pt idx="2">
                  <c:v>70.595981928289902</c:v>
                </c:pt>
                <c:pt idx="3">
                  <c:v>69.658356469570435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63-4712-9649-C20CE7FC1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Sheet1!$I$57:$I$60</c:f>
              <c:numCache>
                <c:formatCode>General</c:formatCode>
                <c:ptCount val="4"/>
                <c:pt idx="0">
                  <c:v>6.655118085449141</c:v>
                </c:pt>
                <c:pt idx="1">
                  <c:v>8.328605585601343</c:v>
                </c:pt>
                <c:pt idx="2">
                  <c:v>7.1839749647123456</c:v>
                </c:pt>
                <c:pt idx="3">
                  <c:v>5.97607535242072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5-4009-83FF-693EF1B1A8D6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Sheet1!$J$57:$J$60</c:f>
              <c:numCache>
                <c:formatCode>General</c:formatCode>
                <c:ptCount val="4"/>
                <c:pt idx="0">
                  <c:v>7.5247524752475261</c:v>
                </c:pt>
                <c:pt idx="1">
                  <c:v>6.4356435643564351</c:v>
                </c:pt>
                <c:pt idx="2">
                  <c:v>4.9504950495049505</c:v>
                </c:pt>
                <c:pt idx="3">
                  <c:v>6.3366336633663369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55-4009-83FF-693EF1B1A8D6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Sheet1!$K$57:$K$60</c:f>
              <c:numCache>
                <c:formatCode>General</c:formatCode>
                <c:ptCount val="4"/>
                <c:pt idx="0">
                  <c:v>33.192586366014027</c:v>
                </c:pt>
                <c:pt idx="1">
                  <c:v>29.953620492572224</c:v>
                </c:pt>
                <c:pt idx="2">
                  <c:v>23.656879590551377</c:v>
                </c:pt>
                <c:pt idx="3">
                  <c:v>20.450270143323593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55-4009-83FF-693EF1B1A8D6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Sheet1!$L$57:$L$60</c:f>
              <c:numCache>
                <c:formatCode>General</c:formatCode>
                <c:ptCount val="4"/>
                <c:pt idx="0">
                  <c:v>8.6138613861386144</c:v>
                </c:pt>
                <c:pt idx="1">
                  <c:v>16.435643564356443</c:v>
                </c:pt>
                <c:pt idx="2">
                  <c:v>13.366336633663369</c:v>
                </c:pt>
                <c:pt idx="3">
                  <c:v>12.57425742574258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55-4009-83FF-693EF1B1A8D6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Sheet1!$M$57:$M$60</c:f>
              <c:numCache>
                <c:formatCode>General</c:formatCode>
                <c:ptCount val="4"/>
                <c:pt idx="0">
                  <c:v>58.326896653114751</c:v>
                </c:pt>
                <c:pt idx="1">
                  <c:v>51.4218749116488</c:v>
                </c:pt>
                <c:pt idx="2">
                  <c:v>59.751259534862683</c:v>
                </c:pt>
                <c:pt idx="3">
                  <c:v>60.312296792214923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55-4009-83FF-693EF1B1A8D6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Sheet1!$N$57:$N$60</c:f>
              <c:numCache>
                <c:formatCode>General</c:formatCode>
                <c:ptCount val="4"/>
                <c:pt idx="0">
                  <c:v>35.506217098009067</c:v>
                </c:pt>
                <c:pt idx="1">
                  <c:v>59.674754454314645</c:v>
                </c:pt>
                <c:pt idx="2">
                  <c:v>63.534387704904134</c:v>
                </c:pt>
                <c:pt idx="3">
                  <c:v>72.195237799051171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55-4009-83FF-693EF1B1A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Sheet1!$P$57:$P$60</c:f>
              <c:numCache>
                <c:formatCode>General</c:formatCode>
                <c:ptCount val="4"/>
                <c:pt idx="0">
                  <c:v>10.245829439554244</c:v>
                </c:pt>
                <c:pt idx="1">
                  <c:v>9.9006694761300498</c:v>
                </c:pt>
                <c:pt idx="2">
                  <c:v>9.2139484684134114</c:v>
                </c:pt>
                <c:pt idx="3">
                  <c:v>9.2513787583278564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A-4655-8A7B-D74E783D5CC8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Sheet1!$Q$57:$Q$60</c:f>
              <c:numCache>
                <c:formatCode>General</c:formatCode>
                <c:ptCount val="4"/>
                <c:pt idx="0">
                  <c:v>9.6039603960396125</c:v>
                </c:pt>
                <c:pt idx="1">
                  <c:v>8.6138613861386197</c:v>
                </c:pt>
                <c:pt idx="2">
                  <c:v>8.4158415841584198</c:v>
                </c:pt>
                <c:pt idx="3">
                  <c:v>9.1089108910891134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BA-4655-8A7B-D74E783D5CC8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Sheet1!$R$57:$R$60</c:f>
              <c:numCache>
                <c:formatCode>General</c:formatCode>
                <c:ptCount val="4"/>
                <c:pt idx="0">
                  <c:v>41.881689987663066</c:v>
                </c:pt>
                <c:pt idx="1">
                  <c:v>28.39043176865686</c:v>
                </c:pt>
                <c:pt idx="2">
                  <c:v>25.608907421073138</c:v>
                </c:pt>
                <c:pt idx="3">
                  <c:v>28.327656360215041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BA-4655-8A7B-D74E783D5CC8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Sheet1!$S$57:$S$60</c:f>
              <c:numCache>
                <c:formatCode>General</c:formatCode>
                <c:ptCount val="4"/>
                <c:pt idx="0">
                  <c:v>8.6138613861386126</c:v>
                </c:pt>
                <c:pt idx="1">
                  <c:v>15.346534653465337</c:v>
                </c:pt>
                <c:pt idx="2">
                  <c:v>16.039603960396033</c:v>
                </c:pt>
                <c:pt idx="3">
                  <c:v>19.603960396039614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BA-4655-8A7B-D74E783D5CC8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Sheet1!$T$57:$T$60</c:f>
              <c:numCache>
                <c:formatCode>General</c:formatCode>
                <c:ptCount val="4"/>
                <c:pt idx="0">
                  <c:v>52.841488032298379</c:v>
                </c:pt>
                <c:pt idx="1">
                  <c:v>59.682670722811849</c:v>
                </c:pt>
                <c:pt idx="2">
                  <c:v>55.849556971688024</c:v>
                </c:pt>
                <c:pt idx="3">
                  <c:v>58.81566968804249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BA-4655-8A7B-D74E783D5CC8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Sheet1!$U$57:$U$60</c:f>
              <c:numCache>
                <c:formatCode>General</c:formatCode>
                <c:ptCount val="4"/>
                <c:pt idx="0">
                  <c:v>43.659068933735178</c:v>
                </c:pt>
                <c:pt idx="1">
                  <c:v>64.58776031800781</c:v>
                </c:pt>
                <c:pt idx="2">
                  <c:v>71.625266467252089</c:v>
                </c:pt>
                <c:pt idx="3">
                  <c:v>63.669303538006581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BA-4655-8A7B-D74E783D5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Sheet1!$W$57:$W$60</c:f>
              <c:numCache>
                <c:formatCode>General</c:formatCode>
                <c:ptCount val="4"/>
                <c:pt idx="0">
                  <c:v>9.3966712897099463</c:v>
                </c:pt>
                <c:pt idx="1">
                  <c:v>8.3288383286183709</c:v>
                </c:pt>
                <c:pt idx="2">
                  <c:v>8.9620214001853835</c:v>
                </c:pt>
                <c:pt idx="3">
                  <c:v>8.2953377324862263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1C-478F-89B3-15EF3ED69C43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Sheet1!$X$57:$X$60</c:f>
              <c:numCache>
                <c:formatCode>General</c:formatCode>
                <c:ptCount val="4"/>
                <c:pt idx="0">
                  <c:v>8.1188118811881154</c:v>
                </c:pt>
                <c:pt idx="1">
                  <c:v>7.8217821782178234</c:v>
                </c:pt>
                <c:pt idx="2">
                  <c:v>8.2178217821782233</c:v>
                </c:pt>
                <c:pt idx="3">
                  <c:v>8.2178217821782269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1C-478F-89B3-15EF3ED69C43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Sheet1!$Y$57:$Y$60</c:f>
              <c:numCache>
                <c:formatCode>General</c:formatCode>
                <c:ptCount val="4"/>
                <c:pt idx="0">
                  <c:v>44.506545049646689</c:v>
                </c:pt>
                <c:pt idx="1">
                  <c:v>27.85156634397719</c:v>
                </c:pt>
                <c:pt idx="2">
                  <c:v>28.78304429567665</c:v>
                </c:pt>
                <c:pt idx="3">
                  <c:v>29.379013819895903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1C-478F-89B3-15EF3ED69C43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Sheet1!$Z$57:$Z$60</c:f>
              <c:numCache>
                <c:formatCode>General</c:formatCode>
                <c:ptCount val="4"/>
                <c:pt idx="0">
                  <c:v>8.2178217821782269</c:v>
                </c:pt>
                <c:pt idx="1">
                  <c:v>13.960396039603964</c:v>
                </c:pt>
                <c:pt idx="2">
                  <c:v>14.158415841584169</c:v>
                </c:pt>
                <c:pt idx="3">
                  <c:v>17.227722772277225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1C-478F-89B3-15EF3ED69C43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Sheet1!$AA$57:$AA$60</c:f>
              <c:numCache>
                <c:formatCode>General</c:formatCode>
                <c:ptCount val="4"/>
                <c:pt idx="0">
                  <c:v>56.429480183883619</c:v>
                </c:pt>
                <c:pt idx="1">
                  <c:v>60.95996064483662</c:v>
                </c:pt>
                <c:pt idx="2">
                  <c:v>60.730049589767646</c:v>
                </c:pt>
                <c:pt idx="3">
                  <c:v>55.219874357509994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1C-478F-89B3-15EF3ED69C43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Sheet1!$AB$57:$AB$60</c:f>
              <c:numCache>
                <c:formatCode>General</c:formatCode>
                <c:ptCount val="4"/>
                <c:pt idx="0">
                  <c:v>31.392867442084018</c:v>
                </c:pt>
                <c:pt idx="1">
                  <c:v>63.846458318019117</c:v>
                </c:pt>
                <c:pt idx="2">
                  <c:v>75.018914227230837</c:v>
                </c:pt>
                <c:pt idx="3">
                  <c:v>66.264256351391865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1C-478F-89B3-15EF3ED69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Sheet1!$B$64:$B$67</c:f>
              <c:numCache>
                <c:formatCode>General</c:formatCode>
                <c:ptCount val="4"/>
                <c:pt idx="0">
                  <c:v>17.616580310880799</c:v>
                </c:pt>
                <c:pt idx="1">
                  <c:v>18.974358974358999</c:v>
                </c:pt>
                <c:pt idx="2">
                  <c:v>10.4838709677419</c:v>
                </c:pt>
                <c:pt idx="3">
                  <c:v>13.9275766016713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3A-4100-8881-F4CCE2D0F9F0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Sheet1!$C$64:$C$67</c:f>
              <c:numCache>
                <c:formatCode>General</c:formatCode>
                <c:ptCount val="4"/>
                <c:pt idx="0">
                  <c:v>12.8712871287129</c:v>
                </c:pt>
                <c:pt idx="1">
                  <c:v>11.881188118811901</c:v>
                </c:pt>
                <c:pt idx="2">
                  <c:v>14.8514851485149</c:v>
                </c:pt>
                <c:pt idx="3">
                  <c:v>11.881188118811901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3A-4100-8881-F4CCE2D0F9F0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Sheet1!$D$64:$D$67</c:f>
              <c:numCache>
                <c:formatCode>General</c:formatCode>
                <c:ptCount val="4"/>
                <c:pt idx="0">
                  <c:v>43.3420365535248</c:v>
                </c:pt>
                <c:pt idx="1">
                  <c:v>35.340314136125698</c:v>
                </c:pt>
                <c:pt idx="2">
                  <c:v>20.867208672086701</c:v>
                </c:pt>
                <c:pt idx="3">
                  <c:v>23.9669421487603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3A-4100-8881-F4CCE2D0F9F0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Sheet1!$E$64:$E$67</c:f>
              <c:numCache>
                <c:formatCode>General</c:formatCode>
                <c:ptCount val="4"/>
                <c:pt idx="0">
                  <c:v>10.891089108910901</c:v>
                </c:pt>
                <c:pt idx="1">
                  <c:v>20.7920792079208</c:v>
                </c:pt>
                <c:pt idx="2">
                  <c:v>16.8316831683168</c:v>
                </c:pt>
                <c:pt idx="3">
                  <c:v>17.821782178217799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3A-4100-8881-F4CCE2D0F9F0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Sheet1!$F$64:$F$67</c:f>
              <c:numCache>
                <c:formatCode>General</c:formatCode>
                <c:ptCount val="4"/>
                <c:pt idx="0">
                  <c:v>72.073101085094194</c:v>
                </c:pt>
                <c:pt idx="1">
                  <c:v>73.897235525951203</c:v>
                </c:pt>
                <c:pt idx="2">
                  <c:v>76.969313150618305</c:v>
                </c:pt>
                <c:pt idx="3">
                  <c:v>69.5777801652238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3A-4100-8881-F4CCE2D0F9F0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Sheet1!$G$64:$G$67</c:f>
              <c:numCache>
                <c:formatCode>General</c:formatCode>
                <c:ptCount val="4"/>
                <c:pt idx="0">
                  <c:v>88.756636942963297</c:v>
                </c:pt>
                <c:pt idx="1">
                  <c:v>97.989833249458599</c:v>
                </c:pt>
                <c:pt idx="2">
                  <c:v>94.135741386817102</c:v>
                </c:pt>
                <c:pt idx="3">
                  <c:v>99.159744643796202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3A-4100-8881-F4CCE2D0F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Sheet1!$I$64:$I$67</c:f>
              <c:numCache>
                <c:formatCode>General</c:formatCode>
                <c:ptCount val="4"/>
                <c:pt idx="0">
                  <c:v>10.427807486631</c:v>
                </c:pt>
                <c:pt idx="1">
                  <c:v>16.619718309859199</c:v>
                </c:pt>
                <c:pt idx="2">
                  <c:v>13.920454545454501</c:v>
                </c:pt>
                <c:pt idx="3">
                  <c:v>9.4488188976377891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0-4CDC-854F-7E78D6A58F4D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Sheet1!$J$64:$J$67</c:f>
              <c:numCache>
                <c:formatCode>General</c:formatCode>
                <c:ptCount val="4"/>
                <c:pt idx="0">
                  <c:v>10.891089108910901</c:v>
                </c:pt>
                <c:pt idx="1">
                  <c:v>10.891089108910901</c:v>
                </c:pt>
                <c:pt idx="2">
                  <c:v>8.9108910891089099</c:v>
                </c:pt>
                <c:pt idx="3">
                  <c:v>10.891089108910901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F0-4CDC-854F-7E78D6A58F4D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Sheet1!$K$64:$K$67</c:f>
              <c:numCache>
                <c:formatCode>General</c:formatCode>
                <c:ptCount val="4"/>
                <c:pt idx="0">
                  <c:v>46.883468834688301</c:v>
                </c:pt>
                <c:pt idx="1">
                  <c:v>41.847826086956502</c:v>
                </c:pt>
                <c:pt idx="2">
                  <c:v>36.842105263157897</c:v>
                </c:pt>
                <c:pt idx="3">
                  <c:v>48.148148148148103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F0-4CDC-854F-7E78D6A58F4D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Sheet1!$L$64:$L$67</c:f>
              <c:numCache>
                <c:formatCode>General</c:formatCode>
                <c:ptCount val="4"/>
                <c:pt idx="0">
                  <c:v>17.821782178217799</c:v>
                </c:pt>
                <c:pt idx="1">
                  <c:v>24.752475247524799</c:v>
                </c:pt>
                <c:pt idx="2">
                  <c:v>18.8118811881188</c:v>
                </c:pt>
                <c:pt idx="3">
                  <c:v>22.7722772277228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F0-4CDC-854F-7E78D6A58F4D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Sheet1!$M$64:$M$67</c:f>
              <c:numCache>
                <c:formatCode>General</c:formatCode>
                <c:ptCount val="4"/>
                <c:pt idx="0">
                  <c:v>87.743920023070302</c:v>
                </c:pt>
                <c:pt idx="1">
                  <c:v>68.503429440602503</c:v>
                </c:pt>
                <c:pt idx="2">
                  <c:v>77.837275446562401</c:v>
                </c:pt>
                <c:pt idx="3">
                  <c:v>85.559595365590198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F0-4CDC-854F-7E78D6A58F4D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Sheet1!$N$64:$N$67</c:f>
              <c:numCache>
                <c:formatCode>General</c:formatCode>
                <c:ptCount val="4"/>
                <c:pt idx="0">
                  <c:v>62.186812627579201</c:v>
                </c:pt>
                <c:pt idx="1">
                  <c:v>85.287614997936103</c:v>
                </c:pt>
                <c:pt idx="2">
                  <c:v>91.579352109968298</c:v>
                </c:pt>
                <c:pt idx="3">
                  <c:v>82.510135650915203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F0-4CDC-854F-7E78D6A58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Sheet1!$P$64:$P$67</c:f>
              <c:numCache>
                <c:formatCode>General</c:formatCode>
                <c:ptCount val="4"/>
                <c:pt idx="0">
                  <c:v>18.041237113402101</c:v>
                </c:pt>
                <c:pt idx="1">
                  <c:v>23.936170212766001</c:v>
                </c:pt>
                <c:pt idx="2">
                  <c:v>12.2395833333333</c:v>
                </c:pt>
                <c:pt idx="3">
                  <c:v>17.728531855955701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DF-4207-B58E-AC37285B18CD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Sheet1!$Q$64:$Q$67</c:f>
              <c:numCache>
                <c:formatCode>General</c:formatCode>
                <c:ptCount val="4"/>
                <c:pt idx="0">
                  <c:v>14.8514851485149</c:v>
                </c:pt>
                <c:pt idx="1">
                  <c:v>12.8712871287129</c:v>
                </c:pt>
                <c:pt idx="2">
                  <c:v>12.8712871287129</c:v>
                </c:pt>
                <c:pt idx="3">
                  <c:v>12.8712871287129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DF-4207-B58E-AC37285B18CD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Sheet1!$R$64:$R$67</c:f>
              <c:numCache>
                <c:formatCode>General</c:formatCode>
                <c:ptCount val="4"/>
                <c:pt idx="0">
                  <c:v>54.761904761904802</c:v>
                </c:pt>
                <c:pt idx="1">
                  <c:v>45.212765957446798</c:v>
                </c:pt>
                <c:pt idx="2">
                  <c:v>38.997214484679702</c:v>
                </c:pt>
                <c:pt idx="3">
                  <c:v>35.989010989011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DF-4207-B58E-AC37285B18CD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Sheet1!$S$64:$S$67</c:f>
              <c:numCache>
                <c:formatCode>General</c:formatCode>
                <c:ptCount val="4"/>
                <c:pt idx="0">
                  <c:v>15.841584158415801</c:v>
                </c:pt>
                <c:pt idx="1">
                  <c:v>29.702970297029701</c:v>
                </c:pt>
                <c:pt idx="2">
                  <c:v>28.712871287128699</c:v>
                </c:pt>
                <c:pt idx="3">
                  <c:v>23.762376237623801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DF-4207-B58E-AC37285B18CD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Sheet1!$T$64:$T$67</c:f>
              <c:numCache>
                <c:formatCode>General</c:formatCode>
                <c:ptCount val="4"/>
                <c:pt idx="0">
                  <c:v>83.981430695896506</c:v>
                </c:pt>
                <c:pt idx="1">
                  <c:v>88.373828816348194</c:v>
                </c:pt>
                <c:pt idx="2">
                  <c:v>75.629201983590704</c:v>
                </c:pt>
                <c:pt idx="3">
                  <c:v>75.5964060141023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DF-4207-B58E-AC37285B18CD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Sheet1!$U$64:$U$67</c:f>
              <c:numCache>
                <c:formatCode>General</c:formatCode>
                <c:ptCount val="4"/>
                <c:pt idx="0">
                  <c:v>68.946175028696501</c:v>
                </c:pt>
                <c:pt idx="1">
                  <c:v>94.113123476825095</c:v>
                </c:pt>
                <c:pt idx="2">
                  <c:v>96.759418945892307</c:v>
                </c:pt>
                <c:pt idx="3">
                  <c:v>93.550502965773404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6DF-4207-B58E-AC37285B1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&amp;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Sheet1!$W$64:$W$67</c:f>
              <c:numCache>
                <c:formatCode>General</c:formatCode>
                <c:ptCount val="4"/>
                <c:pt idx="0">
                  <c:v>20.1072386058981</c:v>
                </c:pt>
                <c:pt idx="1">
                  <c:v>13.5770234986945</c:v>
                </c:pt>
                <c:pt idx="2">
                  <c:v>16.358839050131898</c:v>
                </c:pt>
                <c:pt idx="3">
                  <c:v>13.0890052356021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65-4409-83E8-10D2C2B43075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Sheet1!$X$64:$X$67</c:f>
              <c:numCache>
                <c:formatCode>General</c:formatCode>
                <c:ptCount val="4"/>
                <c:pt idx="0">
                  <c:v>15.841584158415801</c:v>
                </c:pt>
                <c:pt idx="1">
                  <c:v>11.881188118811901</c:v>
                </c:pt>
                <c:pt idx="2">
                  <c:v>14.8514851485149</c:v>
                </c:pt>
                <c:pt idx="3">
                  <c:v>13.8613861386139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65-4409-83E8-10D2C2B43075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Sheet1!$Y$64:$Y$67</c:f>
              <c:numCache>
                <c:formatCode>General</c:formatCode>
                <c:ptCount val="4"/>
                <c:pt idx="0">
                  <c:v>53.664921465968597</c:v>
                </c:pt>
                <c:pt idx="1">
                  <c:v>47.721179624664899</c:v>
                </c:pt>
                <c:pt idx="2">
                  <c:v>39.276485788113703</c:v>
                </c:pt>
                <c:pt idx="3">
                  <c:v>49.202127659574501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65-4409-83E8-10D2C2B43075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Sheet1!$Z$64:$Z$67</c:f>
              <c:numCache>
                <c:formatCode>General</c:formatCode>
                <c:ptCount val="4"/>
                <c:pt idx="0">
                  <c:v>14.8514851485149</c:v>
                </c:pt>
                <c:pt idx="1">
                  <c:v>26.7326732673267</c:v>
                </c:pt>
                <c:pt idx="2">
                  <c:v>19.801980198019798</c:v>
                </c:pt>
                <c:pt idx="3">
                  <c:v>41.5841584158416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65-4409-83E8-10D2C2B43075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Sheet1!$AA$64:$AA$67</c:f>
              <c:numCache>
                <c:formatCode>General</c:formatCode>
                <c:ptCount val="4"/>
                <c:pt idx="0">
                  <c:v>76.887888674647002</c:v>
                </c:pt>
                <c:pt idx="1">
                  <c:v>91.404063307530095</c:v>
                </c:pt>
                <c:pt idx="2">
                  <c:v>82.384040802709606</c:v>
                </c:pt>
                <c:pt idx="3">
                  <c:v>85.479301785118594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65-4409-83E8-10D2C2B43075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Sheet1!$AB$64:$AB$67</c:f>
              <c:numCache>
                <c:formatCode>General</c:formatCode>
                <c:ptCount val="4"/>
                <c:pt idx="0">
                  <c:v>53.9697259274757</c:v>
                </c:pt>
                <c:pt idx="1">
                  <c:v>92.179857620256598</c:v>
                </c:pt>
                <c:pt idx="2">
                  <c:v>88.229639640149003</c:v>
                </c:pt>
                <c:pt idx="3">
                  <c:v>79.682331454161996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65-4409-83E8-10D2C2B43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70</xdr:row>
      <xdr:rowOff>19049</xdr:rowOff>
    </xdr:from>
    <xdr:to>
      <xdr:col>8</xdr:col>
      <xdr:colOff>128588</xdr:colOff>
      <xdr:row>87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A68424-5576-4C81-BE6E-D42B709B3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70</xdr:row>
      <xdr:rowOff>0</xdr:rowOff>
    </xdr:from>
    <xdr:to>
      <xdr:col>17</xdr:col>
      <xdr:colOff>366713</xdr:colOff>
      <xdr:row>87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61E87A-EDEA-4C55-B9A1-86E5632B7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157163</xdr:colOff>
      <xdr:row>70</xdr:row>
      <xdr:rowOff>19050</xdr:rowOff>
    </xdr:from>
    <xdr:to>
      <xdr:col>26</xdr:col>
      <xdr:colOff>285751</xdr:colOff>
      <xdr:row>87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985C5A-32C8-43FD-A105-0DBE2B2D72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509588</xdr:colOff>
      <xdr:row>70</xdr:row>
      <xdr:rowOff>33338</xdr:rowOff>
    </xdr:from>
    <xdr:to>
      <xdr:col>34</xdr:col>
      <xdr:colOff>638176</xdr:colOff>
      <xdr:row>87</xdr:row>
      <xdr:rowOff>90488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D1B447-7287-4326-B4C6-43D18F919C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166688</xdr:colOff>
      <xdr:row>90</xdr:row>
      <xdr:rowOff>133349</xdr:rowOff>
    </xdr:from>
    <xdr:to>
      <xdr:col>8</xdr:col>
      <xdr:colOff>295276</xdr:colOff>
      <xdr:row>108</xdr:row>
      <xdr:rowOff>9524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086957-94B7-4292-AE24-2E88E69C08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404813</xdr:colOff>
      <xdr:row>90</xdr:row>
      <xdr:rowOff>114300</xdr:rowOff>
    </xdr:from>
    <xdr:to>
      <xdr:col>17</xdr:col>
      <xdr:colOff>533401</xdr:colOff>
      <xdr:row>107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3338EA2-9D84-45DD-B849-554BDB5C34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323851</xdr:colOff>
      <xdr:row>90</xdr:row>
      <xdr:rowOff>133350</xdr:rowOff>
    </xdr:from>
    <xdr:to>
      <xdr:col>26</xdr:col>
      <xdr:colOff>452439</xdr:colOff>
      <xdr:row>108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4DDB2B6-CDEB-455F-AC4E-E5BDC78725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28576</xdr:colOff>
      <xdr:row>90</xdr:row>
      <xdr:rowOff>147638</xdr:rowOff>
    </xdr:from>
    <xdr:to>
      <xdr:col>35</xdr:col>
      <xdr:colOff>157164</xdr:colOff>
      <xdr:row>108</xdr:row>
      <xdr:rowOff>23813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0CADCA2-2411-4DAE-89EB-A0D285199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0.1089</cdr:x>
      <cdr:y>0.7975</cdr:y>
    </cdr:from>
    <cdr:to>
      <cdr:x>0.37661</cdr:x>
      <cdr:y>0.88257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78275" y="2499144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0.3205</cdr:x>
      <cdr:y>0.79742</cdr:y>
    </cdr:from>
    <cdr:to>
      <cdr:x>0.58821</cdr:x>
      <cdr:y>0.88249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701941" y="2498893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  <cdr:relSizeAnchor xmlns:cdr="http://schemas.openxmlformats.org/drawingml/2006/chartDrawing">
    <cdr:from>
      <cdr:x>0.52078</cdr:x>
      <cdr:y>0.79737</cdr:y>
    </cdr:from>
    <cdr:to>
      <cdr:x>0.77818</cdr:x>
      <cdr:y>0.87894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9F5F6789-06A4-B105-BE0D-E25EF79E4292}"/>
            </a:ext>
          </a:extLst>
        </cdr:cNvPr>
        <cdr:cNvSpPr txBox="1"/>
      </cdr:nvSpPr>
      <cdr:spPr>
        <a:xfrm xmlns:a="http://schemas.openxmlformats.org/drawingml/2006/main">
          <a:off x="2765425" y="2498725"/>
          <a:ext cx="1366842" cy="2556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12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0.1089</cdr:x>
      <cdr:y>0.79598</cdr:y>
    </cdr:from>
    <cdr:to>
      <cdr:x>0.37661</cdr:x>
      <cdr:y>0.88105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78275" y="2494381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0.31243</cdr:x>
      <cdr:y>0.7959</cdr:y>
    </cdr:from>
    <cdr:to>
      <cdr:x>0.58014</cdr:x>
      <cdr:y>0.88097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659079" y="2494131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  <cdr:relSizeAnchor xmlns:cdr="http://schemas.openxmlformats.org/drawingml/2006/chartDrawing">
    <cdr:from>
      <cdr:x>0.51001</cdr:x>
      <cdr:y>0.79585</cdr:y>
    </cdr:from>
    <cdr:to>
      <cdr:x>0.76741</cdr:x>
      <cdr:y>0.87742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2708275" y="2493962"/>
          <a:ext cx="1366838" cy="255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12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0.10262</cdr:x>
      <cdr:y>0.79446</cdr:y>
    </cdr:from>
    <cdr:to>
      <cdr:x>0.37033</cdr:x>
      <cdr:y>0.87953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44938" y="2489618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0.31064</cdr:x>
      <cdr:y>0.7959</cdr:y>
    </cdr:from>
    <cdr:to>
      <cdr:x>0.57835</cdr:x>
      <cdr:y>0.88097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649554" y="2494131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  <cdr:relSizeAnchor xmlns:cdr="http://schemas.openxmlformats.org/drawingml/2006/chartDrawing">
    <cdr:from>
      <cdr:x>0.51001</cdr:x>
      <cdr:y>0.79585</cdr:y>
    </cdr:from>
    <cdr:to>
      <cdr:x>0.76741</cdr:x>
      <cdr:y>0.87742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2708275" y="2493962"/>
          <a:ext cx="1366838" cy="255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12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0.10531</cdr:x>
      <cdr:y>0.7975</cdr:y>
    </cdr:from>
    <cdr:to>
      <cdr:x>0.37302</cdr:x>
      <cdr:y>0.88257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59225" y="2499144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0.30616</cdr:x>
      <cdr:y>0.79742</cdr:y>
    </cdr:from>
    <cdr:to>
      <cdr:x>0.57387</cdr:x>
      <cdr:y>0.88249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625741" y="2498893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  <cdr:relSizeAnchor xmlns:cdr="http://schemas.openxmlformats.org/drawingml/2006/chartDrawing">
    <cdr:from>
      <cdr:x>0.51001</cdr:x>
      <cdr:y>0.79585</cdr:y>
    </cdr:from>
    <cdr:to>
      <cdr:x>0.76741</cdr:x>
      <cdr:y>0.87742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2708275" y="2493962"/>
          <a:ext cx="1366838" cy="255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12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0.09814</cdr:x>
      <cdr:y>0.79446</cdr:y>
    </cdr:from>
    <cdr:to>
      <cdr:x>0.36585</cdr:x>
      <cdr:y>0.87953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21125" y="2489618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0.30705</cdr:x>
      <cdr:y>0.79438</cdr:y>
    </cdr:from>
    <cdr:to>
      <cdr:x>0.57476</cdr:x>
      <cdr:y>0.87945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630504" y="2489368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  <cdr:relSizeAnchor xmlns:cdr="http://schemas.openxmlformats.org/drawingml/2006/chartDrawing">
    <cdr:from>
      <cdr:x>0.50374</cdr:x>
      <cdr:y>0.79281</cdr:y>
    </cdr:from>
    <cdr:to>
      <cdr:x>0.77145</cdr:x>
      <cdr:y>0.87788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359BC20-0C54-6E36-D725-69F105134497}"/>
            </a:ext>
          </a:extLst>
        </cdr:cNvPr>
        <cdr:cNvSpPr txBox="1"/>
      </cdr:nvSpPr>
      <cdr:spPr>
        <a:xfrm xmlns:a="http://schemas.openxmlformats.org/drawingml/2006/main">
          <a:off x="2674938" y="2484438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12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0.1089</cdr:x>
      <cdr:y>0.7975</cdr:y>
    </cdr:from>
    <cdr:to>
      <cdr:x>0.37661</cdr:x>
      <cdr:y>0.88257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78275" y="2499144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0.31243</cdr:x>
      <cdr:y>0.79742</cdr:y>
    </cdr:from>
    <cdr:to>
      <cdr:x>0.58014</cdr:x>
      <cdr:y>0.88249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659079" y="2498893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  <cdr:relSizeAnchor xmlns:cdr="http://schemas.openxmlformats.org/drawingml/2006/chartDrawing">
    <cdr:from>
      <cdr:x>0.51001</cdr:x>
      <cdr:y>0.79585</cdr:y>
    </cdr:from>
    <cdr:to>
      <cdr:x>0.76741</cdr:x>
      <cdr:y>0.87742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2708275" y="2493962"/>
          <a:ext cx="1366838" cy="255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12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0.10531</cdr:x>
      <cdr:y>0.79598</cdr:y>
    </cdr:from>
    <cdr:to>
      <cdr:x>0.37302</cdr:x>
      <cdr:y>0.88105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59225" y="2494381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0.31064</cdr:x>
      <cdr:y>0.79742</cdr:y>
    </cdr:from>
    <cdr:to>
      <cdr:x>0.57835</cdr:x>
      <cdr:y>0.88249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649554" y="2498893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  <cdr:relSizeAnchor xmlns:cdr="http://schemas.openxmlformats.org/drawingml/2006/chartDrawing">
    <cdr:from>
      <cdr:x>0.51001</cdr:x>
      <cdr:y>0.79585</cdr:y>
    </cdr:from>
    <cdr:to>
      <cdr:x>0.76741</cdr:x>
      <cdr:y>0.87742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2708275" y="2493962"/>
          <a:ext cx="1366838" cy="255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12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0.10172</cdr:x>
      <cdr:y>0.79446</cdr:y>
    </cdr:from>
    <cdr:to>
      <cdr:x>0.36943</cdr:x>
      <cdr:y>0.87953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40175" y="2489618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0.30795</cdr:x>
      <cdr:y>0.7959</cdr:y>
    </cdr:from>
    <cdr:to>
      <cdr:x>0.57566</cdr:x>
      <cdr:y>0.88097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635267" y="2494131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  <cdr:relSizeAnchor xmlns:cdr="http://schemas.openxmlformats.org/drawingml/2006/chartDrawing">
    <cdr:from>
      <cdr:x>0.51001</cdr:x>
      <cdr:y>0.79585</cdr:y>
    </cdr:from>
    <cdr:to>
      <cdr:x>0.76741</cdr:x>
      <cdr:y>0.87742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2708275" y="2493962"/>
          <a:ext cx="1366838" cy="255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12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E5855-83C7-4998-A975-576B5A438DA3}">
  <dimension ref="A1:AB67"/>
  <sheetViews>
    <sheetView tabSelected="1" topLeftCell="S81" workbookViewId="0">
      <selection activeCell="V111" sqref="V111"/>
    </sheetView>
  </sheetViews>
  <sheetFormatPr defaultRowHeight="14.25" x14ac:dyDescent="0.45"/>
  <sheetData>
    <row r="1" spans="1:28" x14ac:dyDescent="0.45">
      <c r="A1" t="s">
        <v>0</v>
      </c>
      <c r="B1" t="s">
        <v>1</v>
      </c>
      <c r="I1" t="s">
        <v>8</v>
      </c>
      <c r="P1" t="s">
        <v>9</v>
      </c>
      <c r="W1" t="s">
        <v>10</v>
      </c>
    </row>
    <row r="2" spans="1:28" x14ac:dyDescent="0.45">
      <c r="B2" t="s">
        <v>2</v>
      </c>
      <c r="C2" t="s">
        <v>3</v>
      </c>
      <c r="D2" t="s">
        <v>4</v>
      </c>
      <c r="E2" t="s">
        <v>5</v>
      </c>
      <c r="F2" t="s">
        <v>7</v>
      </c>
      <c r="G2" t="s">
        <v>6</v>
      </c>
    </row>
    <row r="3" spans="1:28" x14ac:dyDescent="0.45">
      <c r="B3">
        <v>17.616580310880799</v>
      </c>
      <c r="C3">
        <v>10.891089108910901</v>
      </c>
      <c r="D3">
        <v>24.611398963730601</v>
      </c>
      <c r="E3">
        <v>10.891089108910901</v>
      </c>
      <c r="F3">
        <v>38.956522722517803</v>
      </c>
      <c r="G3">
        <v>52.636400133445697</v>
      </c>
      <c r="I3">
        <v>3.26975476839237</v>
      </c>
      <c r="J3">
        <v>7.9207920792079198</v>
      </c>
      <c r="K3">
        <v>37.329700272479599</v>
      </c>
      <c r="L3">
        <v>10.891089108910901</v>
      </c>
      <c r="M3">
        <v>87.743920023070302</v>
      </c>
      <c r="N3">
        <v>21.8336339630536</v>
      </c>
      <c r="P3">
        <v>5.4644808743169397</v>
      </c>
      <c r="Q3">
        <v>8.9108910891089099</v>
      </c>
      <c r="R3">
        <v>32.786885245901601</v>
      </c>
      <c r="S3">
        <v>9.9009900990098991</v>
      </c>
      <c r="T3">
        <v>64.569043997489402</v>
      </c>
      <c r="U3">
        <v>54.009307269961703</v>
      </c>
      <c r="W3">
        <v>7.0680628272251296</v>
      </c>
      <c r="X3">
        <v>7.9207920792079198</v>
      </c>
      <c r="Y3">
        <v>53.664921465968597</v>
      </c>
      <c r="Z3">
        <v>2.9702970297029698</v>
      </c>
      <c r="AA3">
        <v>55.473816941945501</v>
      </c>
      <c r="AB3">
        <v>20.413794663304099</v>
      </c>
    </row>
    <row r="4" spans="1:28" x14ac:dyDescent="0.45">
      <c r="B4">
        <v>14.745308310992</v>
      </c>
      <c r="C4">
        <v>12.8712871287129</v>
      </c>
      <c r="D4">
        <v>26.541554959785501</v>
      </c>
      <c r="E4">
        <v>0.99009900990098998</v>
      </c>
      <c r="F4">
        <v>64.308938032581096</v>
      </c>
      <c r="G4">
        <v>37.086021566177202</v>
      </c>
      <c r="I4">
        <v>7.2423398328690798</v>
      </c>
      <c r="J4">
        <v>8.9108910891089099</v>
      </c>
      <c r="K4">
        <v>42.896935933147603</v>
      </c>
      <c r="L4">
        <v>6.9306930693069297</v>
      </c>
      <c r="M4">
        <v>51.348875607149502</v>
      </c>
      <c r="N4">
        <v>27.0329260224709</v>
      </c>
      <c r="P4">
        <v>3.51351351351351</v>
      </c>
      <c r="Q4">
        <v>4.9504950495049496</v>
      </c>
      <c r="R4">
        <v>42.162162162162197</v>
      </c>
      <c r="S4">
        <v>8.9108910891089099</v>
      </c>
      <c r="T4">
        <v>83.981430695896506</v>
      </c>
      <c r="U4">
        <v>68.946175028696501</v>
      </c>
      <c r="W4">
        <v>1.6216216216216199</v>
      </c>
      <c r="X4">
        <v>2.9702970297029698</v>
      </c>
      <c r="Y4">
        <v>50.8108108108108</v>
      </c>
      <c r="Z4">
        <v>8.9108910891089099</v>
      </c>
      <c r="AA4">
        <v>76.887888674647002</v>
      </c>
      <c r="AB4">
        <v>32.013389802715302</v>
      </c>
    </row>
    <row r="5" spans="1:28" x14ac:dyDescent="0.45">
      <c r="B5">
        <v>12.532637075718</v>
      </c>
      <c r="C5">
        <v>5.9405940594059397</v>
      </c>
      <c r="D5">
        <v>43.3420365535248</v>
      </c>
      <c r="E5">
        <v>5.9405940594059397</v>
      </c>
      <c r="F5">
        <v>47.849319483633103</v>
      </c>
      <c r="G5">
        <v>12.4110126603751</v>
      </c>
      <c r="I5">
        <v>10.427807486631</v>
      </c>
      <c r="J5">
        <v>10.891089108910901</v>
      </c>
      <c r="K5">
        <v>33.155080213903702</v>
      </c>
      <c r="L5">
        <v>4.9504950495049496</v>
      </c>
      <c r="M5">
        <v>55.762760742093597</v>
      </c>
      <c r="N5">
        <v>36.760889110041802</v>
      </c>
      <c r="P5">
        <v>10.026385224274399</v>
      </c>
      <c r="Q5">
        <v>10.891089108910901</v>
      </c>
      <c r="R5">
        <v>32.453825857519803</v>
      </c>
      <c r="S5">
        <v>1.98019801980198</v>
      </c>
      <c r="T5">
        <v>52.022889324911901</v>
      </c>
      <c r="U5">
        <v>57.650225330928301</v>
      </c>
      <c r="W5">
        <v>20.1072386058981</v>
      </c>
      <c r="X5">
        <v>15.841584158415801</v>
      </c>
      <c r="Y5">
        <v>50.402144772118</v>
      </c>
      <c r="Z5">
        <v>11.881188118811901</v>
      </c>
      <c r="AA5">
        <v>46.581585628580001</v>
      </c>
      <c r="AB5">
        <v>28.417142113983001</v>
      </c>
    </row>
    <row r="6" spans="1:28" x14ac:dyDescent="0.45">
      <c r="B6">
        <v>10.5820105820106</v>
      </c>
      <c r="C6">
        <v>10.891089108910901</v>
      </c>
      <c r="D6">
        <v>35.4497354497354</v>
      </c>
      <c r="E6">
        <v>4.9504950495049496</v>
      </c>
      <c r="F6">
        <v>59.820979242413102</v>
      </c>
      <c r="G6">
        <v>16.0440144528445</v>
      </c>
      <c r="I6">
        <v>8.0519480519480506</v>
      </c>
      <c r="J6">
        <v>5.9405940594059397</v>
      </c>
      <c r="K6">
        <v>26.7532467532467</v>
      </c>
      <c r="L6">
        <v>9.9009900990098991</v>
      </c>
      <c r="M6">
        <v>45.015295361632099</v>
      </c>
      <c r="N6">
        <v>42.404057653052597</v>
      </c>
      <c r="P6">
        <v>10.512129380053899</v>
      </c>
      <c r="Q6">
        <v>8.9108910891089099</v>
      </c>
      <c r="R6">
        <v>42.048517520215597</v>
      </c>
      <c r="S6">
        <v>5.9405940594059397</v>
      </c>
      <c r="T6">
        <v>38.206739006282099</v>
      </c>
      <c r="U6">
        <v>42.642111155718702</v>
      </c>
      <c r="W6">
        <v>8.0862533692722405</v>
      </c>
      <c r="X6">
        <v>7.9207920792079198</v>
      </c>
      <c r="Y6">
        <v>49.056603773584897</v>
      </c>
      <c r="Z6">
        <v>7.9207920792079198</v>
      </c>
      <c r="AA6">
        <v>64.218466392612996</v>
      </c>
      <c r="AB6">
        <v>21.282322406997999</v>
      </c>
    </row>
    <row r="7" spans="1:28" x14ac:dyDescent="0.45">
      <c r="B7">
        <v>0.52356020942408399</v>
      </c>
      <c r="C7">
        <v>0.99009900990098998</v>
      </c>
      <c r="D7">
        <v>19.109947643979101</v>
      </c>
      <c r="E7">
        <v>7.9207920792079198</v>
      </c>
      <c r="F7">
        <v>72.073101085094194</v>
      </c>
      <c r="G7">
        <v>37.399279619566798</v>
      </c>
      <c r="I7">
        <v>1.41643059490085</v>
      </c>
      <c r="J7">
        <v>2.9702970297029698</v>
      </c>
      <c r="K7">
        <v>30.594900849858401</v>
      </c>
      <c r="L7">
        <v>8.9108910891089099</v>
      </c>
      <c r="M7">
        <v>61.068922426223203</v>
      </c>
      <c r="N7">
        <v>44.387648359353399</v>
      </c>
      <c r="P7">
        <v>18.041237113402101</v>
      </c>
      <c r="Q7">
        <v>14.8514851485149</v>
      </c>
      <c r="R7">
        <v>32.216494845360799</v>
      </c>
      <c r="S7">
        <v>15.841584158415801</v>
      </c>
      <c r="T7">
        <v>38.172812141294102</v>
      </c>
      <c r="U7">
        <v>43.648042702614099</v>
      </c>
      <c r="W7">
        <v>13.1016042780749</v>
      </c>
      <c r="X7">
        <v>8.9108910891089099</v>
      </c>
      <c r="Y7">
        <v>41.711229946524099</v>
      </c>
      <c r="Z7">
        <v>7.9207920792079198</v>
      </c>
      <c r="AA7">
        <v>64.834804439895706</v>
      </c>
      <c r="AB7">
        <v>31.1629563870151</v>
      </c>
    </row>
    <row r="8" spans="1:28" x14ac:dyDescent="0.45">
      <c r="B8">
        <v>9.3582887700534805</v>
      </c>
      <c r="C8">
        <v>10.891089108910901</v>
      </c>
      <c r="D8">
        <v>19.518716577540101</v>
      </c>
      <c r="E8">
        <v>4.9504950495049496</v>
      </c>
      <c r="F8">
        <v>63.005015521540699</v>
      </c>
      <c r="G8">
        <v>43.5038535264149</v>
      </c>
      <c r="I8">
        <v>5.6910569105691096</v>
      </c>
      <c r="J8">
        <v>5.9405940594059397</v>
      </c>
      <c r="K8">
        <v>46.883468834688301</v>
      </c>
      <c r="L8">
        <v>12.8712871287129</v>
      </c>
      <c r="M8">
        <v>51.835160671978102</v>
      </c>
      <c r="N8">
        <v>17.679289345268</v>
      </c>
      <c r="P8">
        <v>12.064343163538901</v>
      </c>
      <c r="Q8">
        <v>10.891089108910901</v>
      </c>
      <c r="R8">
        <v>34.584450402144803</v>
      </c>
      <c r="S8">
        <v>8.9108910891089099</v>
      </c>
      <c r="T8">
        <v>41.808641172512502</v>
      </c>
      <c r="U8">
        <v>48.107163657542202</v>
      </c>
      <c r="W8">
        <v>7.0652173913043503</v>
      </c>
      <c r="X8">
        <v>10.891089108910901</v>
      </c>
      <c r="Y8">
        <v>31.25</v>
      </c>
      <c r="Z8">
        <v>6.9306930693069297</v>
      </c>
      <c r="AA8">
        <v>58.2999247954493</v>
      </c>
      <c r="AB8">
        <v>53.9697259274757</v>
      </c>
    </row>
    <row r="9" spans="1:28" x14ac:dyDescent="0.45">
      <c r="B9">
        <v>10.695187165775399</v>
      </c>
      <c r="C9">
        <v>6.9306930693069297</v>
      </c>
      <c r="D9">
        <v>22.727272727272702</v>
      </c>
      <c r="E9">
        <v>3.9603960396039599</v>
      </c>
      <c r="F9">
        <v>58.103714426268397</v>
      </c>
      <c r="G9">
        <v>51.521337170838699</v>
      </c>
      <c r="I9">
        <v>7.2972972972973</v>
      </c>
      <c r="J9">
        <v>7.9207920792079198</v>
      </c>
      <c r="K9">
        <v>30.540540540540501</v>
      </c>
      <c r="L9">
        <v>5.9405940594059397</v>
      </c>
      <c r="M9">
        <v>42.661336379211903</v>
      </c>
      <c r="N9">
        <v>33.078127915590002</v>
      </c>
      <c r="P9">
        <v>15.466666666666701</v>
      </c>
      <c r="Q9">
        <v>6.9306930693069297</v>
      </c>
      <c r="R9">
        <v>49.866666666666703</v>
      </c>
      <c r="S9">
        <v>6.9306930693069297</v>
      </c>
      <c r="T9">
        <v>43.202469875771101</v>
      </c>
      <c r="U9">
        <v>22.9690530446534</v>
      </c>
      <c r="W9">
        <v>7.1428571428571397</v>
      </c>
      <c r="X9">
        <v>4.9504950495049496</v>
      </c>
      <c r="Y9">
        <v>41.581632653061199</v>
      </c>
      <c r="Z9">
        <v>5.9405940594059397</v>
      </c>
      <c r="AA9">
        <v>47.448417029024398</v>
      </c>
      <c r="AB9">
        <v>41.1227530520042</v>
      </c>
    </row>
    <row r="10" spans="1:28" x14ac:dyDescent="0.45">
      <c r="B10">
        <v>11.614730878187</v>
      </c>
      <c r="C10">
        <v>7.9207920792079198</v>
      </c>
      <c r="D10">
        <v>35.127478753541098</v>
      </c>
      <c r="E10">
        <v>10.891089108910901</v>
      </c>
      <c r="F10">
        <v>41.5366608048583</v>
      </c>
      <c r="G10">
        <v>38.5527930291601</v>
      </c>
      <c r="I10">
        <v>6.8783068783068799</v>
      </c>
      <c r="J10">
        <v>9.9009900990098991</v>
      </c>
      <c r="K10">
        <v>38.8888888888889</v>
      </c>
      <c r="L10">
        <v>2.9702970297029698</v>
      </c>
      <c r="M10">
        <v>66.648195373506496</v>
      </c>
      <c r="N10">
        <v>22.277510446647199</v>
      </c>
      <c r="P10">
        <v>9.3994778067885107</v>
      </c>
      <c r="Q10">
        <v>7.9207920792079198</v>
      </c>
      <c r="R10">
        <v>47.258485639686697</v>
      </c>
      <c r="S10">
        <v>6.9306930693069297</v>
      </c>
      <c r="T10">
        <v>55.109668591073799</v>
      </c>
      <c r="U10">
        <v>38.965569886514601</v>
      </c>
      <c r="W10">
        <v>10.991957104557599</v>
      </c>
      <c r="X10">
        <v>7.9207920792079198</v>
      </c>
      <c r="Y10">
        <v>44.235924932975898</v>
      </c>
      <c r="Z10">
        <v>14.8514851485149</v>
      </c>
      <c r="AA10">
        <v>49.080299234949202</v>
      </c>
      <c r="AB10">
        <v>27.398205268842101</v>
      </c>
    </row>
    <row r="11" spans="1:28" x14ac:dyDescent="0.45">
      <c r="B11">
        <v>2.4258760107816699</v>
      </c>
      <c r="C11">
        <v>3.9603960396039599</v>
      </c>
      <c r="D11">
        <v>16.711590296495999</v>
      </c>
      <c r="E11">
        <v>4.9504950495049496</v>
      </c>
      <c r="F11">
        <v>62.476887323226897</v>
      </c>
      <c r="G11">
        <v>88.756636942963297</v>
      </c>
      <c r="I11">
        <v>9.2140921409214105</v>
      </c>
      <c r="J11">
        <v>5.9405940594059397</v>
      </c>
      <c r="K11">
        <v>14.0921409214092</v>
      </c>
      <c r="L11">
        <v>4.9504950495049496</v>
      </c>
      <c r="M11">
        <v>57.0960865361236</v>
      </c>
      <c r="N11">
        <v>62.186812627579201</v>
      </c>
      <c r="P11">
        <v>10.2981029810298</v>
      </c>
      <c r="Q11">
        <v>13.8613861386139</v>
      </c>
      <c r="R11">
        <v>50.677506775067698</v>
      </c>
      <c r="S11">
        <v>6.9306930693069297</v>
      </c>
      <c r="T11">
        <v>53.968595031976101</v>
      </c>
      <c r="U11">
        <v>37.0684926859334</v>
      </c>
      <c r="W11">
        <v>6.3829787234042596</v>
      </c>
      <c r="X11">
        <v>3.9603960396039599</v>
      </c>
      <c r="Y11">
        <v>49.468085106383</v>
      </c>
      <c r="Z11">
        <v>13.8613861386139</v>
      </c>
      <c r="AA11">
        <v>52.563457373721398</v>
      </c>
      <c r="AB11">
        <v>18.729325816647901</v>
      </c>
    </row>
    <row r="12" spans="1:28" x14ac:dyDescent="0.45">
      <c r="B12">
        <v>7.7777777777777803</v>
      </c>
      <c r="C12">
        <v>7.9207920792079198</v>
      </c>
      <c r="D12">
        <v>35.5555555555556</v>
      </c>
      <c r="E12">
        <v>7.9207920792079198</v>
      </c>
      <c r="F12">
        <v>45.114248717847197</v>
      </c>
      <c r="G12">
        <v>32.926587918643399</v>
      </c>
      <c r="I12">
        <v>7.0621468926553703</v>
      </c>
      <c r="J12">
        <v>8.9108910891089099</v>
      </c>
      <c r="K12">
        <v>30.790960451977401</v>
      </c>
      <c r="L12">
        <v>17.821782178217799</v>
      </c>
      <c r="M12">
        <v>64.088413410158793</v>
      </c>
      <c r="N12">
        <v>47.421275537033999</v>
      </c>
      <c r="P12">
        <v>7.6719576719576699</v>
      </c>
      <c r="Q12">
        <v>7.9207920792079198</v>
      </c>
      <c r="R12">
        <v>54.761904761904802</v>
      </c>
      <c r="S12">
        <v>13.8613861386139</v>
      </c>
      <c r="T12">
        <v>57.3725904857762</v>
      </c>
      <c r="U12">
        <v>22.584548574788901</v>
      </c>
      <c r="W12">
        <v>12.398921832884101</v>
      </c>
      <c r="X12">
        <v>9.9009900990098991</v>
      </c>
      <c r="Y12">
        <v>32.884097035040398</v>
      </c>
      <c r="Z12">
        <v>0.99009900990098998</v>
      </c>
      <c r="AA12">
        <v>48.906141328010598</v>
      </c>
      <c r="AB12">
        <v>39.419058981854803</v>
      </c>
    </row>
    <row r="13" spans="1:28" s="1" customFormat="1" x14ac:dyDescent="0.45">
      <c r="A13" s="1" t="s">
        <v>14</v>
      </c>
      <c r="B13" s="1">
        <f>AVERAGE(B3:B12)</f>
        <v>9.7871957091600823</v>
      </c>
      <c r="C13" s="1">
        <f t="shared" ref="C13:G13" si="0">AVERAGE(C3:C12)</f>
        <v>7.9207920792079252</v>
      </c>
      <c r="D13" s="1">
        <f t="shared" si="0"/>
        <v>27.869528748116089</v>
      </c>
      <c r="E13" s="1">
        <f t="shared" si="0"/>
        <v>6.3366336633663387</v>
      </c>
      <c r="F13" s="1">
        <f t="shared" si="0"/>
        <v>55.324538735998075</v>
      </c>
      <c r="G13" s="1">
        <f t="shared" si="0"/>
        <v>41.083793702042968</v>
      </c>
      <c r="I13" s="1">
        <f>AVERAGE(I3:I12)</f>
        <v>6.655118085449141</v>
      </c>
      <c r="J13" s="1">
        <f t="shared" ref="J13" si="1">AVERAGE(J3:J12)</f>
        <v>7.5247524752475261</v>
      </c>
      <c r="K13" s="1">
        <f t="shared" ref="K13" si="2">AVERAGE(K3:K12)</f>
        <v>33.192586366014027</v>
      </c>
      <c r="L13" s="1">
        <f t="shared" ref="L13" si="3">AVERAGE(L3:L12)</f>
        <v>8.6138613861386144</v>
      </c>
      <c r="M13" s="1">
        <f t="shared" ref="M13" si="4">AVERAGE(M3:M12)</f>
        <v>58.326896653114751</v>
      </c>
      <c r="N13" s="1">
        <f t="shared" ref="N13" si="5">AVERAGE(N3:N12)</f>
        <v>35.506217098009067</v>
      </c>
      <c r="P13" s="1">
        <f>AVERAGE(P3:P12)</f>
        <v>10.245829439554244</v>
      </c>
      <c r="Q13" s="1">
        <f t="shared" ref="Q13" si="6">AVERAGE(Q3:Q12)</f>
        <v>9.6039603960396125</v>
      </c>
      <c r="R13" s="1">
        <f t="shared" ref="R13" si="7">AVERAGE(R3:R12)</f>
        <v>41.881689987663066</v>
      </c>
      <c r="S13" s="1">
        <f t="shared" ref="S13" si="8">AVERAGE(S3:S12)</f>
        <v>8.6138613861386126</v>
      </c>
      <c r="T13" s="1">
        <f t="shared" ref="T13" si="9">AVERAGE(T3:T12)</f>
        <v>52.841488032298379</v>
      </c>
      <c r="U13" s="1">
        <f t="shared" ref="U13" si="10">AVERAGE(U3:U12)</f>
        <v>43.659068933735178</v>
      </c>
      <c r="W13" s="1">
        <f>AVERAGE(W3:W12)</f>
        <v>9.3966712897099463</v>
      </c>
      <c r="X13" s="1">
        <f t="shared" ref="X13" si="11">AVERAGE(X3:X12)</f>
        <v>8.1188118811881154</v>
      </c>
      <c r="Y13" s="1">
        <f t="shared" ref="Y13" si="12">AVERAGE(Y3:Y12)</f>
        <v>44.506545049646689</v>
      </c>
      <c r="Z13" s="1">
        <f t="shared" ref="Z13" si="13">AVERAGE(Z3:Z12)</f>
        <v>8.2178217821782269</v>
      </c>
      <c r="AA13" s="1">
        <f t="shared" ref="AA13" si="14">AVERAGE(AA3:AA12)</f>
        <v>56.429480183883619</v>
      </c>
      <c r="AB13" s="1">
        <f t="shared" ref="AB13" si="15">AVERAGE(AB3:AB12)</f>
        <v>31.392867442084018</v>
      </c>
    </row>
    <row r="14" spans="1:28" s="1" customFormat="1" x14ac:dyDescent="0.45">
      <c r="A14" s="1" t="s">
        <v>15</v>
      </c>
      <c r="B14" s="1">
        <f>MAX(B3:B12)</f>
        <v>17.616580310880799</v>
      </c>
      <c r="C14" s="1">
        <f t="shared" ref="C14:G14" si="16">MAX(C3:C12)</f>
        <v>12.8712871287129</v>
      </c>
      <c r="D14" s="1">
        <f t="shared" si="16"/>
        <v>43.3420365535248</v>
      </c>
      <c r="E14" s="1">
        <f t="shared" si="16"/>
        <v>10.891089108910901</v>
      </c>
      <c r="F14" s="1">
        <f t="shared" si="16"/>
        <v>72.073101085094194</v>
      </c>
      <c r="G14" s="1">
        <f t="shared" si="16"/>
        <v>88.756636942963297</v>
      </c>
      <c r="I14" s="1">
        <f>MAX(I3:I12)</f>
        <v>10.427807486631</v>
      </c>
      <c r="J14" s="1">
        <f t="shared" ref="J14:N14" si="17">MAX(J3:J12)</f>
        <v>10.891089108910901</v>
      </c>
      <c r="K14" s="1">
        <f t="shared" si="17"/>
        <v>46.883468834688301</v>
      </c>
      <c r="L14" s="1">
        <f t="shared" si="17"/>
        <v>17.821782178217799</v>
      </c>
      <c r="M14" s="1">
        <f t="shared" si="17"/>
        <v>87.743920023070302</v>
      </c>
      <c r="N14" s="1">
        <f t="shared" si="17"/>
        <v>62.186812627579201</v>
      </c>
      <c r="P14" s="1">
        <f>MAX(P3:P12)</f>
        <v>18.041237113402101</v>
      </c>
      <c r="Q14" s="1">
        <f t="shared" ref="Q14:U14" si="18">MAX(Q3:Q12)</f>
        <v>14.8514851485149</v>
      </c>
      <c r="R14" s="1">
        <f t="shared" si="18"/>
        <v>54.761904761904802</v>
      </c>
      <c r="S14" s="1">
        <f t="shared" si="18"/>
        <v>15.841584158415801</v>
      </c>
      <c r="T14" s="1">
        <f t="shared" si="18"/>
        <v>83.981430695896506</v>
      </c>
      <c r="U14" s="1">
        <f t="shared" si="18"/>
        <v>68.946175028696501</v>
      </c>
      <c r="W14" s="1">
        <f>MAX(W3:W12)</f>
        <v>20.1072386058981</v>
      </c>
      <c r="X14" s="1">
        <f t="shared" ref="X14:AB14" si="19">MAX(X3:X12)</f>
        <v>15.841584158415801</v>
      </c>
      <c r="Y14" s="1">
        <f t="shared" si="19"/>
        <v>53.664921465968597</v>
      </c>
      <c r="Z14" s="1">
        <f t="shared" si="19"/>
        <v>14.8514851485149</v>
      </c>
      <c r="AA14" s="1">
        <f t="shared" si="19"/>
        <v>76.887888674647002</v>
      </c>
      <c r="AB14" s="1">
        <f t="shared" si="19"/>
        <v>53.9697259274757</v>
      </c>
    </row>
    <row r="16" spans="1:28" x14ac:dyDescent="0.45">
      <c r="A16" t="s">
        <v>11</v>
      </c>
      <c r="B16">
        <v>13.440860215053799</v>
      </c>
      <c r="C16">
        <v>8.9108910891089099</v>
      </c>
      <c r="D16">
        <v>14.247311827957001</v>
      </c>
      <c r="E16">
        <v>5.9405940594059397</v>
      </c>
      <c r="F16">
        <v>53.038998931303801</v>
      </c>
      <c r="G16">
        <v>51.428038292121599</v>
      </c>
      <c r="I16">
        <v>7.3369565217391299</v>
      </c>
      <c r="J16">
        <v>8.9108910891089099</v>
      </c>
      <c r="K16">
        <v>32.6086956521739</v>
      </c>
      <c r="L16">
        <v>16.8316831683168</v>
      </c>
      <c r="M16">
        <v>51.813673657485701</v>
      </c>
      <c r="N16">
        <v>51.5173790365901</v>
      </c>
      <c r="P16">
        <v>8.5790884718498699</v>
      </c>
      <c r="Q16">
        <v>8.9108910891089099</v>
      </c>
      <c r="R16">
        <v>26.0053619302949</v>
      </c>
      <c r="S16">
        <v>11.881188118811901</v>
      </c>
      <c r="T16">
        <v>57.547879288214403</v>
      </c>
      <c r="U16">
        <v>43.304250470735298</v>
      </c>
      <c r="W16">
        <v>13.5770234986945</v>
      </c>
      <c r="X16">
        <v>10.891089108910901</v>
      </c>
      <c r="Y16">
        <v>30.287206266318499</v>
      </c>
      <c r="Z16">
        <v>17.821782178217799</v>
      </c>
      <c r="AA16">
        <v>47.264646510339198</v>
      </c>
      <c r="AB16">
        <v>67.763823783863302</v>
      </c>
    </row>
    <row r="17" spans="1:28" x14ac:dyDescent="0.45">
      <c r="B17">
        <v>18.974358974358999</v>
      </c>
      <c r="C17">
        <v>9.9009900990098991</v>
      </c>
      <c r="D17">
        <v>8.7179487179487207</v>
      </c>
      <c r="E17">
        <v>6.9306930693069297</v>
      </c>
      <c r="F17">
        <v>38.6907622801115</v>
      </c>
      <c r="G17">
        <v>92.294078065716306</v>
      </c>
      <c r="I17">
        <v>8.1521739130434803</v>
      </c>
      <c r="J17">
        <v>8.9108910891089099</v>
      </c>
      <c r="K17">
        <v>41.847826086956502</v>
      </c>
      <c r="L17">
        <v>24.752475247524799</v>
      </c>
      <c r="M17">
        <v>51.209775460698602</v>
      </c>
      <c r="N17">
        <v>38.301734228248598</v>
      </c>
      <c r="P17">
        <v>5.2054794520547896</v>
      </c>
      <c r="Q17">
        <v>6.9306930693069297</v>
      </c>
      <c r="R17">
        <v>35.616438356164402</v>
      </c>
      <c r="S17">
        <v>24.752475247524799</v>
      </c>
      <c r="T17">
        <v>83.359438171115798</v>
      </c>
      <c r="U17">
        <v>37.125037460913397</v>
      </c>
      <c r="W17">
        <v>9.8092643051771091</v>
      </c>
      <c r="X17">
        <v>11.881188118811901</v>
      </c>
      <c r="Y17">
        <v>25.613079019073599</v>
      </c>
      <c r="Z17">
        <v>11.881188118811901</v>
      </c>
      <c r="AA17">
        <v>44.887504170177202</v>
      </c>
      <c r="AB17">
        <v>67.597582145421896</v>
      </c>
    </row>
    <row r="18" spans="1:28" x14ac:dyDescent="0.45">
      <c r="B18">
        <v>7.1625344352617102</v>
      </c>
      <c r="C18">
        <v>7.9207920792079198</v>
      </c>
      <c r="D18">
        <v>28.099173553719002</v>
      </c>
      <c r="E18">
        <v>18.8118811881188</v>
      </c>
      <c r="F18">
        <v>55.424057539963002</v>
      </c>
      <c r="G18">
        <v>47.688732322689702</v>
      </c>
      <c r="I18">
        <v>14.0921409214092</v>
      </c>
      <c r="J18">
        <v>10.891089108910901</v>
      </c>
      <c r="K18">
        <v>27.3712737127371</v>
      </c>
      <c r="L18">
        <v>16.8316831683168</v>
      </c>
      <c r="M18">
        <v>44.242328287654601</v>
      </c>
      <c r="N18">
        <v>60.094655953316597</v>
      </c>
      <c r="P18">
        <v>12.0967741935484</v>
      </c>
      <c r="Q18">
        <v>11.881188118811901</v>
      </c>
      <c r="R18">
        <v>29.569892473118301</v>
      </c>
      <c r="S18">
        <v>15.841584158415801</v>
      </c>
      <c r="T18">
        <v>40.270057845304798</v>
      </c>
      <c r="U18">
        <v>75.3866248989262</v>
      </c>
      <c r="W18">
        <v>11.0817941952507</v>
      </c>
      <c r="X18">
        <v>7.9207920792079198</v>
      </c>
      <c r="Y18">
        <v>27.4406332453826</v>
      </c>
      <c r="Z18">
        <v>11.881188118811901</v>
      </c>
      <c r="AA18">
        <v>42.563513918496398</v>
      </c>
      <c r="AB18">
        <v>46.5142973463537</v>
      </c>
    </row>
    <row r="19" spans="1:28" x14ac:dyDescent="0.45">
      <c r="B19">
        <v>7.4175824175824197</v>
      </c>
      <c r="C19">
        <v>6.9306930693069297</v>
      </c>
      <c r="D19">
        <v>9.6153846153846203</v>
      </c>
      <c r="E19">
        <v>14.8514851485149</v>
      </c>
      <c r="F19">
        <v>61.794391889217501</v>
      </c>
      <c r="G19">
        <v>46.199342949714698</v>
      </c>
      <c r="I19">
        <v>8.2887700534759396</v>
      </c>
      <c r="J19">
        <v>6.9306930693069297</v>
      </c>
      <c r="K19">
        <v>21.390374331550799</v>
      </c>
      <c r="L19">
        <v>16.8316831683168</v>
      </c>
      <c r="M19">
        <v>47.357945389056297</v>
      </c>
      <c r="N19">
        <v>77.508750303928196</v>
      </c>
      <c r="P19">
        <v>12.290502793296101</v>
      </c>
      <c r="Q19">
        <v>12.8712871287129</v>
      </c>
      <c r="R19">
        <v>32.681564245810101</v>
      </c>
      <c r="S19">
        <v>16.8316831683168</v>
      </c>
      <c r="T19">
        <v>48.035351793317503</v>
      </c>
      <c r="U19">
        <v>62.941119925813297</v>
      </c>
      <c r="W19">
        <v>9.3596059113300498</v>
      </c>
      <c r="X19">
        <v>7.9207920792079198</v>
      </c>
      <c r="Y19">
        <v>27.8325123152709</v>
      </c>
      <c r="Z19">
        <v>12.8712871287129</v>
      </c>
      <c r="AA19">
        <v>43.698367552346298</v>
      </c>
      <c r="AB19">
        <v>60.674805344612103</v>
      </c>
    </row>
    <row r="20" spans="1:28" x14ac:dyDescent="0.45">
      <c r="B20">
        <v>7.2423398328690798</v>
      </c>
      <c r="C20">
        <v>11.881188118811901</v>
      </c>
      <c r="D20">
        <v>6.4066852367687996</v>
      </c>
      <c r="E20">
        <v>8.9108910891089099</v>
      </c>
      <c r="F20">
        <v>70.159060452018906</v>
      </c>
      <c r="G20">
        <v>97.989833249458599</v>
      </c>
      <c r="I20">
        <v>5.4347826086956497</v>
      </c>
      <c r="J20">
        <v>3.9603960396039599</v>
      </c>
      <c r="K20">
        <v>28.260869565217401</v>
      </c>
      <c r="L20">
        <v>16.8316831683168</v>
      </c>
      <c r="M20">
        <v>49.427484153326802</v>
      </c>
      <c r="N20">
        <v>85.203363283215793</v>
      </c>
      <c r="P20">
        <v>10.994764397905801</v>
      </c>
      <c r="Q20">
        <v>9.9009900990098991</v>
      </c>
      <c r="R20">
        <v>10.732984293193701</v>
      </c>
      <c r="S20">
        <v>3.9603960396039599</v>
      </c>
      <c r="T20">
        <v>46.150148995482098</v>
      </c>
      <c r="U20">
        <v>94.113123476825095</v>
      </c>
      <c r="W20">
        <v>8.0428954423592494</v>
      </c>
      <c r="X20">
        <v>7.9207920792079198</v>
      </c>
      <c r="Y20">
        <v>47.721179624664899</v>
      </c>
      <c r="Z20">
        <v>26.7326732673267</v>
      </c>
      <c r="AA20">
        <v>83.976907113898093</v>
      </c>
      <c r="AB20">
        <v>61.893910693182399</v>
      </c>
    </row>
    <row r="21" spans="1:28" x14ac:dyDescent="0.45">
      <c r="B21">
        <v>6.2330623306233104</v>
      </c>
      <c r="C21">
        <v>6.9306930693069297</v>
      </c>
      <c r="D21">
        <v>20.325203252032502</v>
      </c>
      <c r="E21">
        <v>10.891089108910901</v>
      </c>
      <c r="F21">
        <v>51.182068520958303</v>
      </c>
      <c r="G21">
        <v>92.301428886463697</v>
      </c>
      <c r="I21">
        <v>3.51351351351351</v>
      </c>
      <c r="J21">
        <v>1.98019801980198</v>
      </c>
      <c r="K21">
        <v>28.108108108108102</v>
      </c>
      <c r="L21">
        <v>10.891089108910901</v>
      </c>
      <c r="M21">
        <v>68.503429440602503</v>
      </c>
      <c r="N21">
        <v>57.731649806899597</v>
      </c>
      <c r="P21">
        <v>9.3085106382978697</v>
      </c>
      <c r="Q21">
        <v>10.891089108910901</v>
      </c>
      <c r="R21">
        <v>36.968085106383</v>
      </c>
      <c r="S21">
        <v>15.841584158415801</v>
      </c>
      <c r="T21">
        <v>88.373828816348194</v>
      </c>
      <c r="U21">
        <v>39.227372194672299</v>
      </c>
      <c r="W21">
        <v>5.9459459459459501</v>
      </c>
      <c r="X21">
        <v>4.9504950495049496</v>
      </c>
      <c r="Y21">
        <v>18.3783783783784</v>
      </c>
      <c r="Z21">
        <v>9.9009900990098991</v>
      </c>
      <c r="AA21">
        <v>65.217047118761002</v>
      </c>
      <c r="AB21">
        <v>92.179857620256598</v>
      </c>
    </row>
    <row r="22" spans="1:28" x14ac:dyDescent="0.45">
      <c r="B22">
        <v>8.1300813008130106</v>
      </c>
      <c r="C22">
        <v>9.9009900990098991</v>
      </c>
      <c r="D22">
        <v>20.325203252032502</v>
      </c>
      <c r="E22">
        <v>13.8613861386139</v>
      </c>
      <c r="F22">
        <v>73.897235525951203</v>
      </c>
      <c r="G22">
        <v>66.688342163742405</v>
      </c>
      <c r="I22">
        <v>5.7894736842105301</v>
      </c>
      <c r="J22">
        <v>1.98019801980198</v>
      </c>
      <c r="K22">
        <v>27.105263157894701</v>
      </c>
      <c r="L22">
        <v>12.8712871287129</v>
      </c>
      <c r="M22">
        <v>51.931286789444201</v>
      </c>
      <c r="N22">
        <v>55.169606052552702</v>
      </c>
      <c r="P22">
        <v>5.9139784946236604</v>
      </c>
      <c r="Q22">
        <v>6.9306930693069297</v>
      </c>
      <c r="R22">
        <v>31.451612903225801</v>
      </c>
      <c r="S22">
        <v>15.841584158415801</v>
      </c>
      <c r="T22">
        <v>49.2719860221316</v>
      </c>
      <c r="U22">
        <v>90.7159133960226</v>
      </c>
      <c r="W22">
        <v>3.9577836411609502</v>
      </c>
      <c r="X22">
        <v>3.9603960396039599</v>
      </c>
      <c r="Y22">
        <v>14.7757255936675</v>
      </c>
      <c r="Z22">
        <v>8.9108910891089099</v>
      </c>
      <c r="AA22">
        <v>70.796885513794095</v>
      </c>
      <c r="AB22">
        <v>73.993361643417302</v>
      </c>
    </row>
    <row r="23" spans="1:28" x14ac:dyDescent="0.45">
      <c r="B23">
        <v>12.0418848167539</v>
      </c>
      <c r="C23">
        <v>10.891089108910901</v>
      </c>
      <c r="D23">
        <v>35.340314136125698</v>
      </c>
      <c r="E23">
        <v>20.7920792079208</v>
      </c>
      <c r="F23">
        <v>54.954170459878704</v>
      </c>
      <c r="G23">
        <v>48.890308791016203</v>
      </c>
      <c r="I23">
        <v>6.2663185378590098</v>
      </c>
      <c r="J23">
        <v>5.9405940594059397</v>
      </c>
      <c r="K23">
        <v>24.543080939947799</v>
      </c>
      <c r="L23">
        <v>12.8712871287129</v>
      </c>
      <c r="M23">
        <v>57.047458029640801</v>
      </c>
      <c r="N23">
        <v>51.113083895482603</v>
      </c>
      <c r="P23">
        <v>2.7027027027027</v>
      </c>
      <c r="Q23">
        <v>3.9603960396039599</v>
      </c>
      <c r="R23">
        <v>18.3783783783784</v>
      </c>
      <c r="S23">
        <v>8.9108910891089099</v>
      </c>
      <c r="T23">
        <v>59.987220880854501</v>
      </c>
      <c r="U23">
        <v>76.101350854674294</v>
      </c>
      <c r="W23">
        <v>7.0460704607046099</v>
      </c>
      <c r="X23">
        <v>8.9108910891089099</v>
      </c>
      <c r="Y23">
        <v>25.2032520325203</v>
      </c>
      <c r="Z23">
        <v>11.881188118811901</v>
      </c>
      <c r="AA23">
        <v>53.679085784078097</v>
      </c>
      <c r="AB23">
        <v>57.443836902251</v>
      </c>
    </row>
    <row r="24" spans="1:28" x14ac:dyDescent="0.45">
      <c r="B24">
        <v>7.2</v>
      </c>
      <c r="C24">
        <v>8.9108910891089099</v>
      </c>
      <c r="D24">
        <v>25.3333333333333</v>
      </c>
      <c r="E24">
        <v>12.8712871287129</v>
      </c>
      <c r="F24">
        <v>48.996047520228899</v>
      </c>
      <c r="G24">
        <v>65.555184873141798</v>
      </c>
      <c r="I24">
        <v>7.7922077922077904</v>
      </c>
      <c r="J24">
        <v>4.9504950495049496</v>
      </c>
      <c r="K24">
        <v>38.441558441558399</v>
      </c>
      <c r="L24">
        <v>12.8712871287129</v>
      </c>
      <c r="M24">
        <v>45.222814685808999</v>
      </c>
      <c r="N24">
        <v>34.819706984976101</v>
      </c>
      <c r="P24">
        <v>23.936170212766001</v>
      </c>
      <c r="Q24">
        <v>6.9306930693069297</v>
      </c>
      <c r="R24">
        <v>17.287234042553202</v>
      </c>
      <c r="S24">
        <v>9.9009900990098991</v>
      </c>
      <c r="T24">
        <v>37.701228717960298</v>
      </c>
      <c r="U24">
        <v>90.305398329667298</v>
      </c>
      <c r="W24">
        <v>7.9234972677595596</v>
      </c>
      <c r="X24">
        <v>6.9306930693069297</v>
      </c>
      <c r="Y24">
        <v>31.4207650273224</v>
      </c>
      <c r="Z24">
        <v>16.8316831683168</v>
      </c>
      <c r="AA24">
        <v>66.111585458945697</v>
      </c>
      <c r="AB24">
        <v>60.2925626657469</v>
      </c>
    </row>
    <row r="25" spans="1:28" x14ac:dyDescent="0.45">
      <c r="B25">
        <v>11.6710875331565</v>
      </c>
      <c r="C25">
        <v>10.891089108910901</v>
      </c>
      <c r="D25">
        <v>13.5278514588859</v>
      </c>
      <c r="E25">
        <v>10.891089108910901</v>
      </c>
      <c r="F25">
        <v>59.447218279794903</v>
      </c>
      <c r="G25">
        <v>64.238822511605804</v>
      </c>
      <c r="I25">
        <v>16.619718309859199</v>
      </c>
      <c r="J25">
        <v>9.9009900990098991</v>
      </c>
      <c r="K25">
        <v>29.8591549295775</v>
      </c>
      <c r="L25">
        <v>22.7722772277228</v>
      </c>
      <c r="M25">
        <v>47.4625532227695</v>
      </c>
      <c r="N25">
        <v>85.287614997936103</v>
      </c>
      <c r="P25">
        <v>7.9787234042553203</v>
      </c>
      <c r="Q25">
        <v>6.9306930693069297</v>
      </c>
      <c r="R25">
        <v>45.212765957446798</v>
      </c>
      <c r="S25">
        <v>29.702970297029701</v>
      </c>
      <c r="T25">
        <v>86.129566697389293</v>
      </c>
      <c r="U25">
        <v>36.657412171828298</v>
      </c>
      <c r="W25">
        <v>6.5445026178010499</v>
      </c>
      <c r="X25">
        <v>6.9306930693069297</v>
      </c>
      <c r="Y25">
        <v>29.8429319371728</v>
      </c>
      <c r="Z25">
        <v>10.891089108910901</v>
      </c>
      <c r="AA25">
        <v>91.404063307530095</v>
      </c>
      <c r="AB25">
        <v>50.110545035085998</v>
      </c>
    </row>
    <row r="26" spans="1:28" s="1" customFormat="1" x14ac:dyDescent="0.45">
      <c r="A26" s="1" t="s">
        <v>14</v>
      </c>
      <c r="B26" s="1">
        <f>AVERAGE(B16:B25)</f>
        <v>9.9513791856472729</v>
      </c>
      <c r="C26" s="1">
        <f t="shared" ref="C26" si="20">AVERAGE(C16:C25)</f>
        <v>9.3069306930693116</v>
      </c>
      <c r="D26" s="1">
        <f t="shared" ref="D26" si="21">AVERAGE(D16:D25)</f>
        <v>18.193840938418806</v>
      </c>
      <c r="E26" s="1">
        <f t="shared" ref="E26" si="22">AVERAGE(E16:E25)</f>
        <v>12.475247524752486</v>
      </c>
      <c r="F26" s="1">
        <f t="shared" ref="F26" si="23">AVERAGE(F16:F25)</f>
        <v>56.75840113994267</v>
      </c>
      <c r="G26" s="1">
        <f t="shared" ref="G26" si="24">AVERAGE(G16:G25)</f>
        <v>67.327411210567078</v>
      </c>
      <c r="I26" s="1">
        <f>AVERAGE(I16:I25)</f>
        <v>8.328605585601343</v>
      </c>
      <c r="J26" s="1">
        <f t="shared" ref="J26" si="25">AVERAGE(J16:J25)</f>
        <v>6.4356435643564351</v>
      </c>
      <c r="K26" s="1">
        <f t="shared" ref="K26" si="26">AVERAGE(K16:K25)</f>
        <v>29.953620492572224</v>
      </c>
      <c r="L26" s="1">
        <f t="shared" ref="L26" si="27">AVERAGE(L16:L25)</f>
        <v>16.435643564356443</v>
      </c>
      <c r="M26" s="1">
        <f t="shared" ref="M26" si="28">AVERAGE(M16:M25)</f>
        <v>51.4218749116488</v>
      </c>
      <c r="N26" s="1">
        <f t="shared" ref="N26" si="29">AVERAGE(N16:N25)</f>
        <v>59.674754454314645</v>
      </c>
      <c r="P26" s="1">
        <f>AVERAGE(P16:P25)</f>
        <v>9.9006694761300498</v>
      </c>
      <c r="Q26" s="1">
        <f t="shared" ref="Q26" si="30">AVERAGE(Q16:Q25)</f>
        <v>8.6138613861386197</v>
      </c>
      <c r="R26" s="1">
        <f t="shared" ref="R26" si="31">AVERAGE(R16:R25)</f>
        <v>28.39043176865686</v>
      </c>
      <c r="S26" s="1">
        <f t="shared" ref="S26" si="32">AVERAGE(S16:S25)</f>
        <v>15.346534653465337</v>
      </c>
      <c r="T26" s="1">
        <f t="shared" ref="T26" si="33">AVERAGE(T16:T25)</f>
        <v>59.682670722811849</v>
      </c>
      <c r="U26" s="1">
        <f t="shared" ref="U26" si="34">AVERAGE(U16:U25)</f>
        <v>64.58776031800781</v>
      </c>
      <c r="W26" s="1">
        <f>AVERAGE(W16:W25)</f>
        <v>8.3288383286183709</v>
      </c>
      <c r="X26" s="1">
        <f t="shared" ref="X26" si="35">AVERAGE(X16:X25)</f>
        <v>7.8217821782178234</v>
      </c>
      <c r="Y26" s="1">
        <f t="shared" ref="Y26" si="36">AVERAGE(Y16:Y25)</f>
        <v>27.85156634397719</v>
      </c>
      <c r="Z26" s="1">
        <f t="shared" ref="Z26" si="37">AVERAGE(Z16:Z25)</f>
        <v>13.960396039603964</v>
      </c>
      <c r="AA26" s="1">
        <f t="shared" ref="AA26" si="38">AVERAGE(AA16:AA25)</f>
        <v>60.95996064483662</v>
      </c>
      <c r="AB26" s="1">
        <f t="shared" ref="AB26" si="39">AVERAGE(AB16:AB25)</f>
        <v>63.846458318019117</v>
      </c>
    </row>
    <row r="27" spans="1:28" s="1" customFormat="1" x14ac:dyDescent="0.45">
      <c r="A27" s="1" t="s">
        <v>15</v>
      </c>
      <c r="B27" s="1">
        <f>MAX(B16:B25)</f>
        <v>18.974358974358999</v>
      </c>
      <c r="C27" s="1">
        <f t="shared" ref="C27:G27" si="40">MAX(C16:C25)</f>
        <v>11.881188118811901</v>
      </c>
      <c r="D27" s="1">
        <f t="shared" si="40"/>
        <v>35.340314136125698</v>
      </c>
      <c r="E27" s="1">
        <f t="shared" si="40"/>
        <v>20.7920792079208</v>
      </c>
      <c r="F27" s="1">
        <f t="shared" si="40"/>
        <v>73.897235525951203</v>
      </c>
      <c r="G27" s="1">
        <f t="shared" si="40"/>
        <v>97.989833249458599</v>
      </c>
      <c r="I27" s="1">
        <f>MAX(I16:I25)</f>
        <v>16.619718309859199</v>
      </c>
      <c r="J27" s="1">
        <f t="shared" ref="J27:N27" si="41">MAX(J16:J25)</f>
        <v>10.891089108910901</v>
      </c>
      <c r="K27" s="1">
        <f t="shared" si="41"/>
        <v>41.847826086956502</v>
      </c>
      <c r="L27" s="1">
        <f t="shared" si="41"/>
        <v>24.752475247524799</v>
      </c>
      <c r="M27" s="1">
        <f t="shared" si="41"/>
        <v>68.503429440602503</v>
      </c>
      <c r="N27" s="1">
        <f t="shared" si="41"/>
        <v>85.287614997936103</v>
      </c>
      <c r="P27" s="1">
        <f>MAX(P16:P25)</f>
        <v>23.936170212766001</v>
      </c>
      <c r="Q27" s="1">
        <f t="shared" ref="Q27:U27" si="42">MAX(Q16:Q25)</f>
        <v>12.8712871287129</v>
      </c>
      <c r="R27" s="1">
        <f t="shared" si="42"/>
        <v>45.212765957446798</v>
      </c>
      <c r="S27" s="1">
        <f t="shared" si="42"/>
        <v>29.702970297029701</v>
      </c>
      <c r="T27" s="1">
        <f t="shared" si="42"/>
        <v>88.373828816348194</v>
      </c>
      <c r="U27" s="1">
        <f t="shared" si="42"/>
        <v>94.113123476825095</v>
      </c>
      <c r="W27" s="1">
        <f>MAX(W16:W25)</f>
        <v>13.5770234986945</v>
      </c>
      <c r="X27" s="1">
        <f t="shared" ref="X27:AB27" si="43">MAX(X16:X25)</f>
        <v>11.881188118811901</v>
      </c>
      <c r="Y27" s="1">
        <f t="shared" si="43"/>
        <v>47.721179624664899</v>
      </c>
      <c r="Z27" s="1">
        <f t="shared" si="43"/>
        <v>26.7326732673267</v>
      </c>
      <c r="AA27" s="1">
        <f t="shared" si="43"/>
        <v>91.404063307530095</v>
      </c>
      <c r="AB27" s="1">
        <f t="shared" si="43"/>
        <v>92.179857620256598</v>
      </c>
    </row>
    <row r="28" spans="1:28" s="1" customFormat="1" x14ac:dyDescent="0.45"/>
    <row r="29" spans="1:28" x14ac:dyDescent="0.45">
      <c r="A29" t="s">
        <v>12</v>
      </c>
      <c r="B29">
        <v>1.8518518518518501</v>
      </c>
      <c r="C29">
        <v>2.9702970297029698</v>
      </c>
      <c r="D29">
        <v>8.99470899470899</v>
      </c>
      <c r="E29">
        <v>3.9603960396039599</v>
      </c>
      <c r="F29">
        <v>76.969313150618305</v>
      </c>
      <c r="G29">
        <v>68.9750128639363</v>
      </c>
      <c r="I29">
        <v>4.2105263157894699</v>
      </c>
      <c r="J29">
        <v>1.98019801980198</v>
      </c>
      <c r="K29">
        <v>36.842105263157897</v>
      </c>
      <c r="L29">
        <v>18.8118811881188</v>
      </c>
      <c r="M29">
        <v>56.636942963285499</v>
      </c>
      <c r="N29">
        <v>63.077958281264998</v>
      </c>
      <c r="P29">
        <v>3.2</v>
      </c>
      <c r="Q29">
        <v>3.9603960396039599</v>
      </c>
      <c r="R29">
        <v>38.933333333333302</v>
      </c>
      <c r="S29">
        <v>17.821782178217799</v>
      </c>
      <c r="T29">
        <v>75.629201983590704</v>
      </c>
      <c r="U29">
        <v>43.109170997054001</v>
      </c>
      <c r="W29">
        <v>3.9473684210526301</v>
      </c>
      <c r="X29">
        <v>4.9504950495049496</v>
      </c>
      <c r="Y29">
        <v>26.578947368421101</v>
      </c>
      <c r="Z29">
        <v>16.8316831683168</v>
      </c>
      <c r="AA29">
        <v>81.877399618888205</v>
      </c>
      <c r="AB29">
        <v>88.038518300716404</v>
      </c>
    </row>
    <row r="30" spans="1:28" x14ac:dyDescent="0.45">
      <c r="B30">
        <v>4.8648648648648596</v>
      </c>
      <c r="C30">
        <v>4.9504950495049496</v>
      </c>
      <c r="D30">
        <v>12.7027027027027</v>
      </c>
      <c r="E30">
        <v>11.881188118811901</v>
      </c>
      <c r="F30">
        <v>71.9611424306337</v>
      </c>
      <c r="G30">
        <v>48.268316266235402</v>
      </c>
      <c r="I30">
        <v>6.0773480662983399</v>
      </c>
      <c r="J30">
        <v>6.9306930693069297</v>
      </c>
      <c r="K30">
        <v>32.044198895027598</v>
      </c>
      <c r="L30">
        <v>17.821782178217799</v>
      </c>
      <c r="M30">
        <v>55.136810083064297</v>
      </c>
      <c r="N30">
        <v>50.464515326461303</v>
      </c>
      <c r="P30">
        <v>8.7431693989070993</v>
      </c>
      <c r="Q30">
        <v>10.891089108910901</v>
      </c>
      <c r="R30">
        <v>23.770491803278698</v>
      </c>
      <c r="S30">
        <v>18.8118811881188</v>
      </c>
      <c r="T30">
        <v>51.594845378312797</v>
      </c>
      <c r="U30">
        <v>76.373896670078196</v>
      </c>
      <c r="W30">
        <v>4.9180327868852496</v>
      </c>
      <c r="X30">
        <v>5.9405940594059397</v>
      </c>
      <c r="Y30">
        <v>22.131147540983601</v>
      </c>
      <c r="Z30">
        <v>9.9009900990098991</v>
      </c>
      <c r="AA30">
        <v>49.581851389022397</v>
      </c>
      <c r="AB30">
        <v>88.229639640149003</v>
      </c>
    </row>
    <row r="31" spans="1:28" x14ac:dyDescent="0.45">
      <c r="B31">
        <v>6.7750677506775103</v>
      </c>
      <c r="C31">
        <v>5.9405940594059397</v>
      </c>
      <c r="D31">
        <v>12.737127371273701</v>
      </c>
      <c r="E31">
        <v>12.8712871287129</v>
      </c>
      <c r="F31">
        <v>44.989284765141299</v>
      </c>
      <c r="G31">
        <v>78.519205432822005</v>
      </c>
      <c r="I31">
        <v>13.920454545454501</v>
      </c>
      <c r="J31">
        <v>6.9306930693069297</v>
      </c>
      <c r="K31">
        <v>14.7727272727273</v>
      </c>
      <c r="L31">
        <v>7.9207920792079198</v>
      </c>
      <c r="M31">
        <v>44.948007079405798</v>
      </c>
      <c r="N31">
        <v>89.452703122967904</v>
      </c>
      <c r="P31">
        <v>9.4339622641509404</v>
      </c>
      <c r="Q31">
        <v>6.9306930693069297</v>
      </c>
      <c r="R31">
        <v>24.528301886792502</v>
      </c>
      <c r="S31">
        <v>11.881188118811901</v>
      </c>
      <c r="T31">
        <v>47.793340156402799</v>
      </c>
      <c r="U31">
        <v>80.5972259133395</v>
      </c>
      <c r="W31">
        <v>16.358839050131898</v>
      </c>
      <c r="X31">
        <v>9.9009900990098991</v>
      </c>
      <c r="Y31">
        <v>37.9947229551451</v>
      </c>
      <c r="Z31">
        <v>19.801980198019798</v>
      </c>
      <c r="AA31">
        <v>52.751186026655198</v>
      </c>
      <c r="AB31">
        <v>81.2220456768692</v>
      </c>
    </row>
    <row r="32" spans="1:28" x14ac:dyDescent="0.45">
      <c r="B32">
        <v>4.7368421052631602</v>
      </c>
      <c r="C32">
        <v>5.9405940594059397</v>
      </c>
      <c r="D32">
        <v>10</v>
      </c>
      <c r="E32">
        <v>6.9306930693069297</v>
      </c>
      <c r="F32">
        <v>71.716869002719804</v>
      </c>
      <c r="G32">
        <v>94.135741386817102</v>
      </c>
      <c r="I32">
        <v>7.4270557029177704</v>
      </c>
      <c r="J32">
        <v>2.9702970297029698</v>
      </c>
      <c r="K32">
        <v>32.0954907161804</v>
      </c>
      <c r="L32">
        <v>13.8613861386139</v>
      </c>
      <c r="M32">
        <v>60.807120118065498</v>
      </c>
      <c r="N32">
        <v>50.294315553771298</v>
      </c>
      <c r="P32">
        <v>12.228260869565201</v>
      </c>
      <c r="Q32">
        <v>12.8712871287129</v>
      </c>
      <c r="R32">
        <v>14.4021739130435</v>
      </c>
      <c r="S32">
        <v>14.8514851485149</v>
      </c>
      <c r="T32">
        <v>51.7260292562666</v>
      </c>
      <c r="U32">
        <v>96.759418945892307</v>
      </c>
      <c r="W32">
        <v>13.1720430107527</v>
      </c>
      <c r="X32">
        <v>9.9009900990098991</v>
      </c>
      <c r="Y32">
        <v>34.139784946236603</v>
      </c>
      <c r="Z32">
        <v>18.8118811881188</v>
      </c>
      <c r="AA32">
        <v>44.281909630140603</v>
      </c>
      <c r="AB32">
        <v>86.724417730179596</v>
      </c>
    </row>
    <row r="33" spans="1:28" x14ac:dyDescent="0.45">
      <c r="B33">
        <v>10</v>
      </c>
      <c r="C33">
        <v>10.891089108910901</v>
      </c>
      <c r="D33">
        <v>8.3783783783783807</v>
      </c>
      <c r="E33">
        <v>11.881188118811901</v>
      </c>
      <c r="F33">
        <v>49.111964308937999</v>
      </c>
      <c r="G33">
        <v>78.728421100248198</v>
      </c>
      <c r="I33">
        <v>5.0264550264550296</v>
      </c>
      <c r="J33">
        <v>4.9504950495049496</v>
      </c>
      <c r="K33">
        <v>21.1640211640212</v>
      </c>
      <c r="L33">
        <v>15.841584158415801</v>
      </c>
      <c r="M33">
        <v>77.837275446562401</v>
      </c>
      <c r="N33">
        <v>91.579352109968298</v>
      </c>
      <c r="P33">
        <v>9.1836734693877595</v>
      </c>
      <c r="Q33">
        <v>8.9108910891089099</v>
      </c>
      <c r="R33">
        <v>14.7959183673469</v>
      </c>
      <c r="S33">
        <v>6.9306930693069297</v>
      </c>
      <c r="T33">
        <v>41.8623587087435</v>
      </c>
      <c r="U33">
        <v>93.435717072563904</v>
      </c>
      <c r="W33">
        <v>4.5212765957446797</v>
      </c>
      <c r="X33">
        <v>8.9108910891089099</v>
      </c>
      <c r="Y33">
        <v>27.393617021276601</v>
      </c>
      <c r="Z33">
        <v>10.891089108910901</v>
      </c>
      <c r="AA33">
        <v>51.890574551458599</v>
      </c>
      <c r="AB33">
        <v>77.262780532764907</v>
      </c>
    </row>
    <row r="34" spans="1:28" x14ac:dyDescent="0.45">
      <c r="B34">
        <v>1.8970189701897</v>
      </c>
      <c r="C34">
        <v>5.9405940594059397</v>
      </c>
      <c r="D34">
        <v>20.867208672086701</v>
      </c>
      <c r="E34">
        <v>16.8316831683168</v>
      </c>
      <c r="F34">
        <v>51.7492126140084</v>
      </c>
      <c r="G34">
        <v>58.168175469745698</v>
      </c>
      <c r="I34">
        <v>7.7956989247311803</v>
      </c>
      <c r="J34">
        <v>2.9702970297029698</v>
      </c>
      <c r="K34">
        <v>12.9032258064516</v>
      </c>
      <c r="L34">
        <v>11.881188118811901</v>
      </c>
      <c r="M34">
        <v>70.9433364809925</v>
      </c>
      <c r="N34">
        <v>75.460698554150099</v>
      </c>
      <c r="P34">
        <v>9.8930481283422491</v>
      </c>
      <c r="Q34">
        <v>2.9702970297029698</v>
      </c>
      <c r="R34">
        <v>33.422459893048099</v>
      </c>
      <c r="S34">
        <v>16.8316831683168</v>
      </c>
      <c r="T34">
        <v>66.440110601579903</v>
      </c>
      <c r="U34">
        <v>59.560873277504797</v>
      </c>
      <c r="W34">
        <v>7.18085106382979</v>
      </c>
      <c r="X34">
        <v>9.9009900990098991</v>
      </c>
      <c r="Y34">
        <v>27.127659574468101</v>
      </c>
      <c r="Z34">
        <v>12.8712871287129</v>
      </c>
      <c r="AA34">
        <v>82.384040802709606</v>
      </c>
      <c r="AB34">
        <v>63.832831027248901</v>
      </c>
    </row>
    <row r="35" spans="1:28" x14ac:dyDescent="0.45">
      <c r="B35">
        <v>5.0632911392405102</v>
      </c>
      <c r="C35">
        <v>4.9504950495049496</v>
      </c>
      <c r="D35">
        <v>19.746835443038002</v>
      </c>
      <c r="E35">
        <v>7.9207920792079198</v>
      </c>
      <c r="F35">
        <v>45.105767001600199</v>
      </c>
      <c r="G35">
        <v>43.856127474540699</v>
      </c>
      <c r="I35">
        <v>11.466666666666701</v>
      </c>
      <c r="J35">
        <v>8.9108910891089099</v>
      </c>
      <c r="K35">
        <v>21.866666666666699</v>
      </c>
      <c r="L35">
        <v>10.891089108910901</v>
      </c>
      <c r="M35">
        <v>50.368389208995097</v>
      </c>
      <c r="N35">
        <v>76.144890331408902</v>
      </c>
      <c r="P35">
        <v>9.8701298701298708</v>
      </c>
      <c r="Q35">
        <v>6.9306930693069297</v>
      </c>
      <c r="R35">
        <v>19.480519480519501</v>
      </c>
      <c r="S35">
        <v>8.9108910891089099</v>
      </c>
      <c r="T35">
        <v>52.504085359992303</v>
      </c>
      <c r="U35">
        <v>65.174638537525894</v>
      </c>
      <c r="W35">
        <v>11.6847826086957</v>
      </c>
      <c r="X35">
        <v>8.9108910891089099</v>
      </c>
      <c r="Y35">
        <v>25.815217391304301</v>
      </c>
      <c r="Z35">
        <v>14.8514851485149</v>
      </c>
      <c r="AA35">
        <v>67.845248259834506</v>
      </c>
      <c r="AB35">
        <v>61.209153468173803</v>
      </c>
    </row>
    <row r="36" spans="1:28" x14ac:dyDescent="0.45">
      <c r="B36">
        <v>10.4838709677419</v>
      </c>
      <c r="C36">
        <v>10.891089108910901</v>
      </c>
      <c r="D36">
        <v>12.9032258064516</v>
      </c>
      <c r="E36">
        <v>9.9009900990098991</v>
      </c>
      <c r="F36">
        <v>52.151811411866497</v>
      </c>
      <c r="G36">
        <v>83.957116442655106</v>
      </c>
      <c r="I36">
        <v>8.3550913838120096</v>
      </c>
      <c r="J36">
        <v>4.9504950495049496</v>
      </c>
      <c r="K36">
        <v>27.9373368146214</v>
      </c>
      <c r="L36">
        <v>17.821782178217799</v>
      </c>
      <c r="M36">
        <v>57.298516830552302</v>
      </c>
      <c r="N36">
        <v>36.151336435756697</v>
      </c>
      <c r="P36">
        <v>12.2395833333333</v>
      </c>
      <c r="Q36">
        <v>9.9009900990098991</v>
      </c>
      <c r="R36">
        <v>21.3541666666667</v>
      </c>
      <c r="S36">
        <v>15.841584158415801</v>
      </c>
      <c r="T36">
        <v>44.026327247230697</v>
      </c>
      <c r="U36">
        <v>70.772005812802902</v>
      </c>
      <c r="W36">
        <v>2.5839793281653698</v>
      </c>
      <c r="X36">
        <v>5.9405940594059397</v>
      </c>
      <c r="Y36">
        <v>39.276485788113703</v>
      </c>
      <c r="Z36">
        <v>9.9009900990098991</v>
      </c>
      <c r="AA36">
        <v>72.9116600980486</v>
      </c>
      <c r="AB36">
        <v>47.220541585854797</v>
      </c>
    </row>
    <row r="37" spans="1:28" x14ac:dyDescent="0.45">
      <c r="B37">
        <v>9.4086021505376305</v>
      </c>
      <c r="C37">
        <v>14.8514851485149</v>
      </c>
      <c r="D37">
        <v>15.0537634408602</v>
      </c>
      <c r="E37">
        <v>10.891089108910901</v>
      </c>
      <c r="F37">
        <v>42.756897048928202</v>
      </c>
      <c r="G37">
        <v>83.276317351895102</v>
      </c>
      <c r="I37">
        <v>3.8567493112947702</v>
      </c>
      <c r="J37">
        <v>6.9306930693069297</v>
      </c>
      <c r="K37">
        <v>17.630853994490401</v>
      </c>
      <c r="L37">
        <v>4.9504950495049496</v>
      </c>
      <c r="M37">
        <v>52.089612159388402</v>
      </c>
      <c r="N37">
        <v>53.165659227259098</v>
      </c>
      <c r="P37">
        <v>8.0779944289693599</v>
      </c>
      <c r="Q37">
        <v>9.9009900990098991</v>
      </c>
      <c r="R37">
        <v>38.997214484679702</v>
      </c>
      <c r="S37">
        <v>28.712871287128699</v>
      </c>
      <c r="T37">
        <v>53.402581834425597</v>
      </c>
      <c r="U37">
        <v>60.440144528444797</v>
      </c>
      <c r="W37">
        <v>15.702479338843</v>
      </c>
      <c r="X37">
        <v>14.8514851485149</v>
      </c>
      <c r="Y37">
        <v>33.608815426997197</v>
      </c>
      <c r="Z37">
        <v>14.8514851485149</v>
      </c>
      <c r="AA37">
        <v>61.676778757258901</v>
      </c>
      <c r="AB37">
        <v>84.160677632583401</v>
      </c>
    </row>
    <row r="38" spans="1:28" x14ac:dyDescent="0.45">
      <c r="B38">
        <v>8.1841432225063908</v>
      </c>
      <c r="C38">
        <v>4.9504950495049496</v>
      </c>
      <c r="D38">
        <v>15.601023017902801</v>
      </c>
      <c r="E38">
        <v>10.891089108910901</v>
      </c>
      <c r="F38">
        <v>54.420953231816597</v>
      </c>
      <c r="G38">
        <v>68.075385494003399</v>
      </c>
      <c r="I38">
        <v>3.7037037037037002</v>
      </c>
      <c r="J38">
        <v>1.98019801980198</v>
      </c>
      <c r="K38">
        <v>19.312169312169299</v>
      </c>
      <c r="L38">
        <v>13.8613861386139</v>
      </c>
      <c r="M38">
        <v>71.446584978315101</v>
      </c>
      <c r="N38">
        <v>49.552448106032799</v>
      </c>
      <c r="P38">
        <v>9.2696629213483206</v>
      </c>
      <c r="Q38">
        <v>10.891089108910901</v>
      </c>
      <c r="R38">
        <v>26.404494382022499</v>
      </c>
      <c r="S38">
        <v>19.801980198019798</v>
      </c>
      <c r="T38">
        <v>73.516689190335399</v>
      </c>
      <c r="U38">
        <v>70.029572917314596</v>
      </c>
      <c r="W38">
        <v>9.5505617977528097</v>
      </c>
      <c r="X38">
        <v>2.9702970297029698</v>
      </c>
      <c r="Y38">
        <v>13.764044943820201</v>
      </c>
      <c r="Z38">
        <v>12.8712871287129</v>
      </c>
      <c r="AA38">
        <v>42.099846763659798</v>
      </c>
      <c r="AB38">
        <v>72.288536677768306</v>
      </c>
    </row>
    <row r="39" spans="1:28" s="1" customFormat="1" x14ac:dyDescent="0.45">
      <c r="A39" s="1" t="s">
        <v>14</v>
      </c>
      <c r="B39" s="1">
        <f>AVERAGE(B29:B38)</f>
        <v>6.3265553022873515</v>
      </c>
      <c r="C39" s="1">
        <f t="shared" ref="C39" si="44">AVERAGE(C29:C38)</f>
        <v>7.2277227722772341</v>
      </c>
      <c r="D39" s="1">
        <f t="shared" ref="D39" si="45">AVERAGE(D29:D38)</f>
        <v>13.698497382740305</v>
      </c>
      <c r="E39" s="1">
        <f t="shared" ref="E39" si="46">AVERAGE(E29:E38)</f>
        <v>10.396039603960402</v>
      </c>
      <c r="F39" s="1">
        <f t="shared" ref="F39" si="47">AVERAGE(F29:F38)</f>
        <v>56.093321496627098</v>
      </c>
      <c r="G39" s="1">
        <f t="shared" ref="G39" si="48">AVERAGE(G29:G38)</f>
        <v>70.595981928289902</v>
      </c>
      <c r="I39" s="1">
        <f>AVERAGE(I29:I38)</f>
        <v>7.1839749647123456</v>
      </c>
      <c r="J39" s="1">
        <f t="shared" ref="J39" si="49">AVERAGE(J29:J38)</f>
        <v>4.9504950495049505</v>
      </c>
      <c r="K39" s="1">
        <f t="shared" ref="K39" si="50">AVERAGE(K29:K38)</f>
        <v>23.656879590551377</v>
      </c>
      <c r="L39" s="1">
        <f t="shared" ref="L39" si="51">AVERAGE(L29:L38)</f>
        <v>13.366336633663369</v>
      </c>
      <c r="M39" s="1">
        <f t="shared" ref="M39" si="52">AVERAGE(M29:M38)</f>
        <v>59.751259534862683</v>
      </c>
      <c r="N39" s="1">
        <f t="shared" ref="N39" si="53">AVERAGE(N29:N38)</f>
        <v>63.534387704904134</v>
      </c>
      <c r="P39" s="1">
        <f>AVERAGE(P29:P38)</f>
        <v>9.2139484684134114</v>
      </c>
      <c r="Q39" s="1">
        <f t="shared" ref="Q39" si="54">AVERAGE(Q29:Q38)</f>
        <v>8.4158415841584198</v>
      </c>
      <c r="R39" s="1">
        <f t="shared" ref="R39" si="55">AVERAGE(R29:R38)</f>
        <v>25.608907421073138</v>
      </c>
      <c r="S39" s="1">
        <f t="shared" ref="S39" si="56">AVERAGE(S29:S38)</f>
        <v>16.039603960396033</v>
      </c>
      <c r="T39" s="1">
        <f t="shared" ref="T39" si="57">AVERAGE(T29:T38)</f>
        <v>55.849556971688024</v>
      </c>
      <c r="U39" s="1">
        <f t="shared" ref="U39" si="58">AVERAGE(U29:U38)</f>
        <v>71.625266467252089</v>
      </c>
      <c r="W39" s="1">
        <f>AVERAGE(W29:W38)</f>
        <v>8.9620214001853835</v>
      </c>
      <c r="X39" s="1">
        <f t="shared" ref="X39" si="59">AVERAGE(X29:X38)</f>
        <v>8.2178217821782233</v>
      </c>
      <c r="Y39" s="1">
        <f t="shared" ref="Y39" si="60">AVERAGE(Y29:Y38)</f>
        <v>28.78304429567665</v>
      </c>
      <c r="Z39" s="1">
        <f t="shared" ref="Z39" si="61">AVERAGE(Z29:Z38)</f>
        <v>14.158415841584169</v>
      </c>
      <c r="AA39" s="1">
        <f t="shared" ref="AA39" si="62">AVERAGE(AA29:AA38)</f>
        <v>60.730049589767646</v>
      </c>
      <c r="AB39" s="1">
        <f t="shared" ref="AB39" si="63">AVERAGE(AB29:AB38)</f>
        <v>75.018914227230837</v>
      </c>
    </row>
    <row r="40" spans="1:28" s="1" customFormat="1" x14ac:dyDescent="0.45">
      <c r="A40" s="1" t="s">
        <v>15</v>
      </c>
      <c r="B40" s="1">
        <f>MAX(B29:B38)</f>
        <v>10.4838709677419</v>
      </c>
      <c r="C40" s="1">
        <f t="shared" ref="C40:G40" si="64">MAX(C29:C38)</f>
        <v>14.8514851485149</v>
      </c>
      <c r="D40" s="1">
        <f t="shared" si="64"/>
        <v>20.867208672086701</v>
      </c>
      <c r="E40" s="1">
        <f t="shared" si="64"/>
        <v>16.8316831683168</v>
      </c>
      <c r="F40" s="1">
        <f t="shared" si="64"/>
        <v>76.969313150618305</v>
      </c>
      <c r="G40" s="1">
        <f t="shared" si="64"/>
        <v>94.135741386817102</v>
      </c>
      <c r="I40" s="1">
        <f>MAX(I29:I38)</f>
        <v>13.920454545454501</v>
      </c>
      <c r="J40" s="1">
        <f t="shared" ref="J40:N40" si="65">MAX(J29:J38)</f>
        <v>8.9108910891089099</v>
      </c>
      <c r="K40" s="1">
        <f t="shared" si="65"/>
        <v>36.842105263157897</v>
      </c>
      <c r="L40" s="1">
        <f t="shared" si="65"/>
        <v>18.8118811881188</v>
      </c>
      <c r="M40" s="1">
        <f t="shared" si="65"/>
        <v>77.837275446562401</v>
      </c>
      <c r="N40" s="1">
        <f t="shared" si="65"/>
        <v>91.579352109968298</v>
      </c>
      <c r="P40" s="1">
        <f>MAX(P29:P38)</f>
        <v>12.2395833333333</v>
      </c>
      <c r="Q40" s="1">
        <f t="shared" ref="Q40:U40" si="66">MAX(Q29:Q38)</f>
        <v>12.8712871287129</v>
      </c>
      <c r="R40" s="1">
        <f t="shared" si="66"/>
        <v>38.997214484679702</v>
      </c>
      <c r="S40" s="1">
        <f t="shared" si="66"/>
        <v>28.712871287128699</v>
      </c>
      <c r="T40" s="1">
        <f t="shared" si="66"/>
        <v>75.629201983590704</v>
      </c>
      <c r="U40" s="1">
        <f t="shared" si="66"/>
        <v>96.759418945892307</v>
      </c>
      <c r="W40" s="1">
        <f>MAX(W29:W38)</f>
        <v>16.358839050131898</v>
      </c>
      <c r="X40" s="1">
        <f t="shared" ref="X40:AB40" si="67">MAX(X29:X38)</f>
        <v>14.8514851485149</v>
      </c>
      <c r="Y40" s="1">
        <f t="shared" si="67"/>
        <v>39.276485788113703</v>
      </c>
      <c r="Z40" s="1">
        <f t="shared" si="67"/>
        <v>19.801980198019798</v>
      </c>
      <c r="AA40" s="1">
        <f t="shared" si="67"/>
        <v>82.384040802709606</v>
      </c>
      <c r="AB40" s="1">
        <f t="shared" si="67"/>
        <v>88.229639640149003</v>
      </c>
    </row>
    <row r="41" spans="1:28" s="1" customFormat="1" x14ac:dyDescent="0.45"/>
    <row r="42" spans="1:28" x14ac:dyDescent="0.45">
      <c r="A42" t="s">
        <v>13</v>
      </c>
      <c r="B42">
        <v>10.5555555555556</v>
      </c>
      <c r="C42">
        <v>10.891089108910901</v>
      </c>
      <c r="D42">
        <v>6.1111111111111098</v>
      </c>
      <c r="E42">
        <v>8.9108910891089099</v>
      </c>
      <c r="F42">
        <v>45.617497215169799</v>
      </c>
      <c r="G42">
        <v>74.666809913429901</v>
      </c>
      <c r="I42">
        <v>5.2910052910052903</v>
      </c>
      <c r="J42">
        <v>4.9504950495049496</v>
      </c>
      <c r="K42">
        <v>19.312169312169299</v>
      </c>
      <c r="L42">
        <v>16.8316831683168</v>
      </c>
      <c r="M42">
        <v>55.331889556745502</v>
      </c>
      <c r="N42">
        <v>79.787504735624907</v>
      </c>
      <c r="P42">
        <v>10.989010989011</v>
      </c>
      <c r="Q42">
        <v>9.9009900990098991</v>
      </c>
      <c r="R42">
        <v>35.989010989011</v>
      </c>
      <c r="S42">
        <v>21.782178217821802</v>
      </c>
      <c r="T42">
        <v>40.111167027610797</v>
      </c>
      <c r="U42">
        <v>53.822144064777703</v>
      </c>
      <c r="W42">
        <v>9.0425531914893593</v>
      </c>
      <c r="X42">
        <v>12.8712871287129</v>
      </c>
      <c r="Y42">
        <v>49.202127659574501</v>
      </c>
      <c r="Z42">
        <v>41.5841584158416</v>
      </c>
      <c r="AA42">
        <v>45.8911739260734</v>
      </c>
      <c r="AB42">
        <v>78.770829681483306</v>
      </c>
    </row>
    <row r="43" spans="1:28" x14ac:dyDescent="0.45">
      <c r="B43">
        <v>9.0909090909090899</v>
      </c>
      <c r="C43">
        <v>6.9306930693069297</v>
      </c>
      <c r="D43">
        <v>23.9669421487603</v>
      </c>
      <c r="E43">
        <v>11.881188118811901</v>
      </c>
      <c r="F43">
        <v>69.5777801652238</v>
      </c>
      <c r="G43">
        <v>89.438566929222901</v>
      </c>
      <c r="I43">
        <v>5.7065217391304301</v>
      </c>
      <c r="J43">
        <v>7.9207920792079198</v>
      </c>
      <c r="K43">
        <v>18.478260869565201</v>
      </c>
      <c r="L43">
        <v>10.891089108910901</v>
      </c>
      <c r="M43">
        <v>68.083301762500597</v>
      </c>
      <c r="N43">
        <v>82.151641777541499</v>
      </c>
      <c r="P43">
        <v>17.728531855955701</v>
      </c>
      <c r="Q43">
        <v>12.8712871287129</v>
      </c>
      <c r="R43">
        <v>26.038781163434901</v>
      </c>
      <c r="S43">
        <v>16.8316831683168</v>
      </c>
      <c r="T43">
        <v>53.434246908414401</v>
      </c>
      <c r="U43">
        <v>65.656400020356102</v>
      </c>
      <c r="W43">
        <v>6.4</v>
      </c>
      <c r="X43">
        <v>5.9405940594059397</v>
      </c>
      <c r="Y43">
        <v>26.4</v>
      </c>
      <c r="Z43">
        <v>15.841584158415801</v>
      </c>
      <c r="AA43">
        <v>52.581551701715</v>
      </c>
      <c r="AB43">
        <v>54.792452403435703</v>
      </c>
    </row>
    <row r="44" spans="1:28" x14ac:dyDescent="0.45">
      <c r="B44">
        <v>8.2474226804123703</v>
      </c>
      <c r="C44">
        <v>7.9207920792079198</v>
      </c>
      <c r="D44">
        <v>5.6701030927835099</v>
      </c>
      <c r="E44">
        <v>2.9702970297029698</v>
      </c>
      <c r="F44">
        <v>66.737536117974997</v>
      </c>
      <c r="G44">
        <v>82.244940656258706</v>
      </c>
      <c r="I44">
        <v>8.6021505376344098</v>
      </c>
      <c r="J44">
        <v>10.891089108910901</v>
      </c>
      <c r="K44">
        <v>22.8494623655914</v>
      </c>
      <c r="L44">
        <v>13.8613861386139</v>
      </c>
      <c r="M44">
        <v>68.772017121757898</v>
      </c>
      <c r="N44">
        <v>77.086926282576897</v>
      </c>
      <c r="P44">
        <v>13.246753246753199</v>
      </c>
      <c r="Q44">
        <v>9.9009900990098991</v>
      </c>
      <c r="R44">
        <v>34.545454545454497</v>
      </c>
      <c r="S44">
        <v>21.782178217821802</v>
      </c>
      <c r="T44">
        <v>67.540471922692007</v>
      </c>
      <c r="U44">
        <v>70.857388423022797</v>
      </c>
      <c r="W44">
        <v>10.4838709677419</v>
      </c>
      <c r="X44">
        <v>11.881188118811901</v>
      </c>
      <c r="Y44">
        <v>32.258064516128997</v>
      </c>
      <c r="Z44">
        <v>16.8316831683168</v>
      </c>
      <c r="AA44">
        <v>45.203589462315698</v>
      </c>
      <c r="AB44">
        <v>49.101786249441602</v>
      </c>
    </row>
    <row r="45" spans="1:28" x14ac:dyDescent="0.45">
      <c r="B45">
        <v>13.9275766016713</v>
      </c>
      <c r="C45">
        <v>10.891089108910901</v>
      </c>
      <c r="D45">
        <v>18.662952646239599</v>
      </c>
      <c r="E45">
        <v>13.8613861386139</v>
      </c>
      <c r="F45">
        <v>66.536236719046002</v>
      </c>
      <c r="G45">
        <v>36.2576406127192</v>
      </c>
      <c r="I45">
        <v>5.2910052910052903</v>
      </c>
      <c r="J45">
        <v>5.9405940594059397</v>
      </c>
      <c r="K45">
        <v>48.148148148148103</v>
      </c>
      <c r="L45">
        <v>22.7722772277228</v>
      </c>
      <c r="M45">
        <v>60.673109001362697</v>
      </c>
      <c r="N45">
        <v>48.595145065620201</v>
      </c>
      <c r="P45">
        <v>4.7244094488188999</v>
      </c>
      <c r="Q45">
        <v>9.9009900990098991</v>
      </c>
      <c r="R45">
        <v>23.359580052493399</v>
      </c>
      <c r="S45">
        <v>19.801980198019798</v>
      </c>
      <c r="T45">
        <v>69.523497181243002</v>
      </c>
      <c r="U45">
        <v>61.632108385024701</v>
      </c>
      <c r="W45">
        <v>6.2015503875968996</v>
      </c>
      <c r="X45">
        <v>4.9504950495049496</v>
      </c>
      <c r="Y45">
        <v>21.447028423772601</v>
      </c>
      <c r="Z45">
        <v>10.891089108910901</v>
      </c>
      <c r="AA45">
        <v>65.626431289616704</v>
      </c>
      <c r="AB45">
        <v>76.037455258946807</v>
      </c>
    </row>
    <row r="46" spans="1:28" x14ac:dyDescent="0.45">
      <c r="B46">
        <v>10.026385224274399</v>
      </c>
      <c r="C46">
        <v>11.881188118811901</v>
      </c>
      <c r="D46">
        <v>6.0686015831134599</v>
      </c>
      <c r="E46">
        <v>9.9009900990098991</v>
      </c>
      <c r="F46">
        <v>43.0424481625775</v>
      </c>
      <c r="G46">
        <v>99.159744643796202</v>
      </c>
      <c r="I46">
        <v>7.2580645161290303</v>
      </c>
      <c r="J46">
        <v>8.9108910891089099</v>
      </c>
      <c r="K46">
        <v>8.8709677419354804</v>
      </c>
      <c r="L46">
        <v>6.9306930693069297</v>
      </c>
      <c r="M46">
        <v>61.463039507834303</v>
      </c>
      <c r="N46">
        <v>82.510135650915203</v>
      </c>
      <c r="P46">
        <v>7.8947368421052602</v>
      </c>
      <c r="Q46">
        <v>10.891089108910901</v>
      </c>
      <c r="R46">
        <v>20.526315789473699</v>
      </c>
      <c r="S46">
        <v>11.881188118811901</v>
      </c>
      <c r="T46">
        <v>61.115854589456703</v>
      </c>
      <c r="U46">
        <v>93.550502965773404</v>
      </c>
      <c r="W46">
        <v>5.8201058201058196</v>
      </c>
      <c r="X46">
        <v>9.9009900990098991</v>
      </c>
      <c r="Y46">
        <v>38.624338624338598</v>
      </c>
      <c r="Z46">
        <v>19.801980198019798</v>
      </c>
      <c r="AA46">
        <v>62.2614517305528</v>
      </c>
      <c r="AB46">
        <v>67.261140734290393</v>
      </c>
    </row>
    <row r="47" spans="1:28" x14ac:dyDescent="0.45">
      <c r="B47">
        <v>2.6881720430107499</v>
      </c>
      <c r="C47">
        <v>2.9702970297029698</v>
      </c>
      <c r="D47">
        <v>17.741935483871</v>
      </c>
      <c r="E47">
        <v>10.891089108910901</v>
      </c>
      <c r="F47">
        <v>66.088967548953605</v>
      </c>
      <c r="G47">
        <v>59.822110137912702</v>
      </c>
      <c r="I47">
        <v>8.0110497237569103</v>
      </c>
      <c r="J47">
        <v>6.9306930693069297</v>
      </c>
      <c r="K47">
        <v>10.773480662983401</v>
      </c>
      <c r="L47">
        <v>12.8712871287129</v>
      </c>
      <c r="M47">
        <v>45.117075956596203</v>
      </c>
      <c r="N47">
        <v>77.468603513692301</v>
      </c>
      <c r="P47">
        <v>3.1413612565445002</v>
      </c>
      <c r="Q47">
        <v>4.9504950495049496</v>
      </c>
      <c r="R47">
        <v>35.340314136125698</v>
      </c>
      <c r="S47">
        <v>18.8118811881188</v>
      </c>
      <c r="T47">
        <v>67.529728415445803</v>
      </c>
      <c r="U47">
        <v>45.696659900141903</v>
      </c>
      <c r="W47">
        <v>4.2328042328042299</v>
      </c>
      <c r="X47">
        <v>5.9405940594059397</v>
      </c>
      <c r="Y47">
        <v>38.624338624338598</v>
      </c>
      <c r="Z47">
        <v>20.7920792079208</v>
      </c>
      <c r="AA47">
        <v>53.697180112071699</v>
      </c>
      <c r="AB47">
        <v>48.0675823150562</v>
      </c>
    </row>
    <row r="48" spans="1:28" x14ac:dyDescent="0.45">
      <c r="B48">
        <v>6.53950953678474</v>
      </c>
      <c r="C48">
        <v>4.9504950495049496</v>
      </c>
      <c r="D48">
        <v>18.5286103542234</v>
      </c>
      <c r="E48">
        <v>17.821782178217799</v>
      </c>
      <c r="F48">
        <v>69.439245466522706</v>
      </c>
      <c r="G48">
        <v>59.974215582609098</v>
      </c>
      <c r="I48">
        <v>9.4488188976377891</v>
      </c>
      <c r="J48">
        <v>6.9306930693069297</v>
      </c>
      <c r="K48">
        <v>18.110236220472402</v>
      </c>
      <c r="L48">
        <v>6.9306930693069297</v>
      </c>
      <c r="M48">
        <v>47.886073587370198</v>
      </c>
      <c r="N48">
        <v>72.444034808963494</v>
      </c>
      <c r="P48">
        <v>10.626702997275199</v>
      </c>
      <c r="Q48">
        <v>9.9009900990098991</v>
      </c>
      <c r="R48">
        <v>26.158038147138999</v>
      </c>
      <c r="S48">
        <v>19.801980198019798</v>
      </c>
      <c r="T48">
        <v>52.599646029708602</v>
      </c>
      <c r="U48">
        <v>44.493387088566102</v>
      </c>
      <c r="W48">
        <v>13.0890052356021</v>
      </c>
      <c r="X48">
        <v>13.8613861386139</v>
      </c>
      <c r="Y48">
        <v>16.4921465968586</v>
      </c>
      <c r="Z48">
        <v>11.881188118811901</v>
      </c>
      <c r="AA48">
        <v>43.177024727030101</v>
      </c>
      <c r="AB48">
        <v>79.377555117019398</v>
      </c>
    </row>
    <row r="49" spans="1:28" x14ac:dyDescent="0.45">
      <c r="B49">
        <v>11.6402116402116</v>
      </c>
      <c r="C49">
        <v>11.881188118811901</v>
      </c>
      <c r="D49">
        <v>21.6931216931217</v>
      </c>
      <c r="E49">
        <v>10.891089108910901</v>
      </c>
      <c r="F49">
        <v>41.206439318974702</v>
      </c>
      <c r="G49">
        <v>55.951620290527103</v>
      </c>
      <c r="I49">
        <v>5.5248618784530397</v>
      </c>
      <c r="J49">
        <v>7.9207920792079198</v>
      </c>
      <c r="K49">
        <v>24.861878453038699</v>
      </c>
      <c r="L49">
        <v>12.8712871287129</v>
      </c>
      <c r="M49">
        <v>43.801844490559901</v>
      </c>
      <c r="N49">
        <v>57.256673697067001</v>
      </c>
      <c r="P49">
        <v>12.010443864229799</v>
      </c>
      <c r="Q49">
        <v>7.9207920792079198</v>
      </c>
      <c r="R49">
        <v>30.026109660574399</v>
      </c>
      <c r="S49">
        <v>23.762376237623801</v>
      </c>
      <c r="T49">
        <v>43.238658531758396</v>
      </c>
      <c r="U49">
        <v>58.8325765757615</v>
      </c>
      <c r="W49">
        <v>5.8355437665782501</v>
      </c>
      <c r="X49">
        <v>2.9702970297029698</v>
      </c>
      <c r="Y49">
        <v>25.1989389920424</v>
      </c>
      <c r="Z49">
        <v>8.9108910891089099</v>
      </c>
      <c r="AA49">
        <v>85.479301785118594</v>
      </c>
      <c r="AB49">
        <v>79.682331454161996</v>
      </c>
    </row>
    <row r="50" spans="1:28" x14ac:dyDescent="0.45">
      <c r="B50">
        <v>8.1967213114754092</v>
      </c>
      <c r="C50">
        <v>10.891089108910901</v>
      </c>
      <c r="D50">
        <v>12.568306010929</v>
      </c>
      <c r="E50">
        <v>8.9108910891089099</v>
      </c>
      <c r="F50">
        <v>61.9351883789178</v>
      </c>
      <c r="G50">
        <v>74.934266699085697</v>
      </c>
      <c r="I50">
        <v>3.8251366120218599</v>
      </c>
      <c r="J50">
        <v>0.99009900990098998</v>
      </c>
      <c r="K50">
        <v>9.8360655737704903</v>
      </c>
      <c r="L50">
        <v>5.9405940594059397</v>
      </c>
      <c r="M50">
        <v>66.435021571831697</v>
      </c>
      <c r="N50">
        <v>79.249763925564494</v>
      </c>
      <c r="P50">
        <v>7.75623268698061</v>
      </c>
      <c r="Q50">
        <v>5.9405940594059397</v>
      </c>
      <c r="R50">
        <v>23.545706371191098</v>
      </c>
      <c r="S50">
        <v>20.7920792079208</v>
      </c>
      <c r="T50">
        <v>75.5964060141023</v>
      </c>
      <c r="U50">
        <v>61.299059660392103</v>
      </c>
      <c r="W50">
        <v>10.3896103896104</v>
      </c>
      <c r="X50">
        <v>4.9504950495049496</v>
      </c>
      <c r="Y50">
        <v>11.4285714285714</v>
      </c>
      <c r="Z50">
        <v>5.9405940594059397</v>
      </c>
      <c r="AA50">
        <v>50.722924948120202</v>
      </c>
      <c r="AB50">
        <v>78.174282305443597</v>
      </c>
    </row>
    <row r="51" spans="1:28" x14ac:dyDescent="0.45">
      <c r="B51">
        <v>5.0531914893616996</v>
      </c>
      <c r="C51">
        <v>9.9009900990098991</v>
      </c>
      <c r="D51">
        <v>23.404255319148898</v>
      </c>
      <c r="E51">
        <v>12.8712871287129</v>
      </c>
      <c r="F51">
        <v>58.120112411012698</v>
      </c>
      <c r="G51">
        <v>64.133649230142893</v>
      </c>
      <c r="I51">
        <v>0.80213903743315496</v>
      </c>
      <c r="J51">
        <v>1.98019801980198</v>
      </c>
      <c r="K51">
        <v>23.262032085561501</v>
      </c>
      <c r="L51">
        <v>15.841584158415801</v>
      </c>
      <c r="M51">
        <v>85.559595365590198</v>
      </c>
      <c r="N51">
        <v>65.401948532945795</v>
      </c>
      <c r="P51">
        <v>4.3956043956044004</v>
      </c>
      <c r="Q51">
        <v>8.9108910891089099</v>
      </c>
      <c r="R51">
        <v>27.747252747252698</v>
      </c>
      <c r="S51">
        <v>20.7920792079208</v>
      </c>
      <c r="T51">
        <v>57.4670202599929</v>
      </c>
      <c r="U51">
        <v>80.852808296249407</v>
      </c>
      <c r="W51">
        <v>11.4583333333333</v>
      </c>
      <c r="X51">
        <v>8.9108910891089099</v>
      </c>
      <c r="Y51">
        <v>34.1145833333333</v>
      </c>
      <c r="Z51">
        <v>19.801980198019798</v>
      </c>
      <c r="AA51">
        <v>47.5581138924858</v>
      </c>
      <c r="AB51">
        <v>51.3771479946396</v>
      </c>
    </row>
    <row r="52" spans="1:28" s="1" customFormat="1" x14ac:dyDescent="0.45">
      <c r="A52" s="1" t="s">
        <v>14</v>
      </c>
      <c r="B52" s="1">
        <f>AVERAGE(B42:B51)</f>
        <v>8.5965655173666953</v>
      </c>
      <c r="C52" s="1">
        <f t="shared" ref="C52" si="68">AVERAGE(C42:C51)</f>
        <v>8.9108910891089188</v>
      </c>
      <c r="D52" s="1">
        <f t="shared" ref="D52" si="69">AVERAGE(D42:D51)</f>
        <v>15.441593944330197</v>
      </c>
      <c r="E52" s="1">
        <f t="shared" ref="E52" si="70">AVERAGE(E42:E51)</f>
        <v>10.891089108910901</v>
      </c>
      <c r="F52" s="1">
        <f t="shared" ref="F52" si="71">AVERAGE(F42:F51)</f>
        <v>58.83014515043736</v>
      </c>
      <c r="G52" s="1">
        <f t="shared" ref="G52" si="72">AVERAGE(G42:G51)</f>
        <v>69.658356469570435</v>
      </c>
      <c r="I52" s="1">
        <f>AVERAGE(I42:I51)</f>
        <v>5.97607535242072</v>
      </c>
      <c r="J52" s="1">
        <f t="shared" ref="J52" si="73">AVERAGE(J42:J51)</f>
        <v>6.3366336633663369</v>
      </c>
      <c r="K52" s="1">
        <f t="shared" ref="K52" si="74">AVERAGE(K42:K51)</f>
        <v>20.450270143323593</v>
      </c>
      <c r="L52" s="1">
        <f t="shared" ref="L52" si="75">AVERAGE(L42:L51)</f>
        <v>12.57425742574258</v>
      </c>
      <c r="M52" s="1">
        <f t="shared" ref="M52" si="76">AVERAGE(M42:M51)</f>
        <v>60.312296792214923</v>
      </c>
      <c r="N52" s="1">
        <f t="shared" ref="N52" si="77">AVERAGE(N42:N51)</f>
        <v>72.195237799051171</v>
      </c>
      <c r="P52" s="1">
        <f>AVERAGE(P42:P51)</f>
        <v>9.2513787583278564</v>
      </c>
      <c r="Q52" s="1">
        <f t="shared" ref="Q52" si="78">AVERAGE(Q42:Q51)</f>
        <v>9.1089108910891134</v>
      </c>
      <c r="R52" s="1">
        <f t="shared" ref="R52" si="79">AVERAGE(R42:R51)</f>
        <v>28.327656360215041</v>
      </c>
      <c r="S52" s="1">
        <f t="shared" ref="S52" si="80">AVERAGE(S42:S51)</f>
        <v>19.603960396039614</v>
      </c>
      <c r="T52" s="1">
        <f t="shared" ref="T52" si="81">AVERAGE(T42:T51)</f>
        <v>58.81566968804249</v>
      </c>
      <c r="U52" s="1">
        <f t="shared" ref="U52" si="82">AVERAGE(U42:U51)</f>
        <v>63.669303538006581</v>
      </c>
      <c r="W52" s="1">
        <f>AVERAGE(W42:W51)</f>
        <v>8.2953377324862263</v>
      </c>
      <c r="X52" s="1">
        <f t="shared" ref="X52" si="83">AVERAGE(X42:X51)</f>
        <v>8.2178217821782269</v>
      </c>
      <c r="Y52" s="1">
        <f t="shared" ref="Y52" si="84">AVERAGE(Y42:Y51)</f>
        <v>29.379013819895903</v>
      </c>
      <c r="Z52" s="1">
        <f t="shared" ref="Z52" si="85">AVERAGE(Z42:Z51)</f>
        <v>17.227722772277225</v>
      </c>
      <c r="AA52" s="1">
        <f t="shared" ref="AA52" si="86">AVERAGE(AA42:AA51)</f>
        <v>55.219874357509994</v>
      </c>
      <c r="AB52" s="1">
        <f t="shared" ref="AB52" si="87">AVERAGE(AB42:AB51)</f>
        <v>66.264256351391865</v>
      </c>
    </row>
    <row r="53" spans="1:28" s="1" customFormat="1" x14ac:dyDescent="0.45">
      <c r="A53" s="1" t="s">
        <v>15</v>
      </c>
      <c r="B53" s="1">
        <f>MAX(B42:B51)</f>
        <v>13.9275766016713</v>
      </c>
      <c r="C53" s="1">
        <f t="shared" ref="C53:G53" si="88">MAX(C42:C51)</f>
        <v>11.881188118811901</v>
      </c>
      <c r="D53" s="1">
        <f t="shared" si="88"/>
        <v>23.9669421487603</v>
      </c>
      <c r="E53" s="1">
        <f t="shared" si="88"/>
        <v>17.821782178217799</v>
      </c>
      <c r="F53" s="1">
        <f t="shared" si="88"/>
        <v>69.5777801652238</v>
      </c>
      <c r="G53" s="1">
        <f t="shared" si="88"/>
        <v>99.159744643796202</v>
      </c>
      <c r="I53" s="1">
        <f>MAX(I42:I51)</f>
        <v>9.4488188976377891</v>
      </c>
      <c r="J53" s="1">
        <f t="shared" ref="J53:N53" si="89">MAX(J42:J51)</f>
        <v>10.891089108910901</v>
      </c>
      <c r="K53" s="1">
        <f t="shared" si="89"/>
        <v>48.148148148148103</v>
      </c>
      <c r="L53" s="1">
        <f t="shared" si="89"/>
        <v>22.7722772277228</v>
      </c>
      <c r="M53" s="1">
        <f t="shared" si="89"/>
        <v>85.559595365590198</v>
      </c>
      <c r="N53" s="1">
        <f t="shared" si="89"/>
        <v>82.510135650915203</v>
      </c>
      <c r="P53" s="1">
        <f>MAX(P42:P51)</f>
        <v>17.728531855955701</v>
      </c>
      <c r="Q53" s="1">
        <f t="shared" ref="Q53:U53" si="90">MAX(Q42:Q51)</f>
        <v>12.8712871287129</v>
      </c>
      <c r="R53" s="1">
        <f t="shared" si="90"/>
        <v>35.989010989011</v>
      </c>
      <c r="S53" s="1">
        <f t="shared" si="90"/>
        <v>23.762376237623801</v>
      </c>
      <c r="T53" s="1">
        <f t="shared" si="90"/>
        <v>75.5964060141023</v>
      </c>
      <c r="U53" s="1">
        <f t="shared" si="90"/>
        <v>93.550502965773404</v>
      </c>
      <c r="W53" s="1">
        <f>MAX(W42:W51)</f>
        <v>13.0890052356021</v>
      </c>
      <c r="X53" s="1">
        <f t="shared" ref="X53:AB53" si="91">MAX(X42:X51)</f>
        <v>13.8613861386139</v>
      </c>
      <c r="Y53" s="1">
        <f t="shared" si="91"/>
        <v>49.202127659574501</v>
      </c>
      <c r="Z53" s="1">
        <f t="shared" si="91"/>
        <v>41.5841584158416</v>
      </c>
      <c r="AA53" s="1">
        <f t="shared" si="91"/>
        <v>85.479301785118594</v>
      </c>
      <c r="AB53" s="1">
        <f t="shared" si="91"/>
        <v>79.682331454161996</v>
      </c>
    </row>
    <row r="55" spans="1:28" x14ac:dyDescent="0.45">
      <c r="A55" t="s">
        <v>14</v>
      </c>
    </row>
    <row r="56" spans="1:28" x14ac:dyDescent="0.45">
      <c r="A56" t="s">
        <v>16</v>
      </c>
      <c r="B56" t="s">
        <v>17</v>
      </c>
      <c r="I56" t="s">
        <v>18</v>
      </c>
      <c r="P56" t="s">
        <v>19</v>
      </c>
      <c r="W56" t="s">
        <v>20</v>
      </c>
    </row>
    <row r="57" spans="1:28" x14ac:dyDescent="0.45">
      <c r="A57" t="s">
        <v>21</v>
      </c>
      <c r="B57">
        <f>B13</f>
        <v>9.7871957091600823</v>
      </c>
      <c r="C57">
        <f t="shared" ref="C57:G57" si="92">C13</f>
        <v>7.9207920792079252</v>
      </c>
      <c r="D57">
        <f t="shared" si="92"/>
        <v>27.869528748116089</v>
      </c>
      <c r="E57">
        <f t="shared" si="92"/>
        <v>6.3366336633663387</v>
      </c>
      <c r="F57">
        <f t="shared" si="92"/>
        <v>55.324538735998075</v>
      </c>
      <c r="G57">
        <f t="shared" si="92"/>
        <v>41.083793702042968</v>
      </c>
      <c r="I57">
        <f>I13</f>
        <v>6.655118085449141</v>
      </c>
      <c r="J57">
        <f t="shared" ref="J57:N57" si="93">J13</f>
        <v>7.5247524752475261</v>
      </c>
      <c r="K57">
        <f t="shared" si="93"/>
        <v>33.192586366014027</v>
      </c>
      <c r="L57">
        <f t="shared" si="93"/>
        <v>8.6138613861386144</v>
      </c>
      <c r="M57">
        <f t="shared" si="93"/>
        <v>58.326896653114751</v>
      </c>
      <c r="N57">
        <f t="shared" si="93"/>
        <v>35.506217098009067</v>
      </c>
      <c r="P57">
        <f>P13</f>
        <v>10.245829439554244</v>
      </c>
      <c r="Q57">
        <f t="shared" ref="Q57:U57" si="94">Q13</f>
        <v>9.6039603960396125</v>
      </c>
      <c r="R57">
        <f t="shared" si="94"/>
        <v>41.881689987663066</v>
      </c>
      <c r="S57">
        <f t="shared" si="94"/>
        <v>8.6138613861386126</v>
      </c>
      <c r="T57">
        <f t="shared" si="94"/>
        <v>52.841488032298379</v>
      </c>
      <c r="U57">
        <f t="shared" si="94"/>
        <v>43.659068933735178</v>
      </c>
      <c r="W57">
        <f>W13</f>
        <v>9.3966712897099463</v>
      </c>
      <c r="X57">
        <f t="shared" ref="X57:AB57" si="95">X13</f>
        <v>8.1188118811881154</v>
      </c>
      <c r="Y57">
        <f t="shared" si="95"/>
        <v>44.506545049646689</v>
      </c>
      <c r="Z57">
        <f t="shared" si="95"/>
        <v>8.2178217821782269</v>
      </c>
      <c r="AA57">
        <f t="shared" si="95"/>
        <v>56.429480183883619</v>
      </c>
      <c r="AB57">
        <f t="shared" si="95"/>
        <v>31.392867442084018</v>
      </c>
    </row>
    <row r="58" spans="1:28" x14ac:dyDescent="0.45">
      <c r="A58" s="2">
        <v>7</v>
      </c>
      <c r="B58">
        <f>B26</f>
        <v>9.9513791856472729</v>
      </c>
      <c r="C58">
        <f t="shared" ref="C58:G58" si="96">C26</f>
        <v>9.3069306930693116</v>
      </c>
      <c r="D58">
        <f t="shared" si="96"/>
        <v>18.193840938418806</v>
      </c>
      <c r="E58">
        <f t="shared" si="96"/>
        <v>12.475247524752486</v>
      </c>
      <c r="F58">
        <f t="shared" si="96"/>
        <v>56.75840113994267</v>
      </c>
      <c r="G58">
        <f t="shared" si="96"/>
        <v>67.327411210567078</v>
      </c>
      <c r="I58">
        <f>I26</f>
        <v>8.328605585601343</v>
      </c>
      <c r="J58">
        <f t="shared" ref="J58:N58" si="97">J26</f>
        <v>6.4356435643564351</v>
      </c>
      <c r="K58">
        <f t="shared" si="97"/>
        <v>29.953620492572224</v>
      </c>
      <c r="L58">
        <f t="shared" si="97"/>
        <v>16.435643564356443</v>
      </c>
      <c r="M58">
        <f t="shared" si="97"/>
        <v>51.4218749116488</v>
      </c>
      <c r="N58">
        <f t="shared" si="97"/>
        <v>59.674754454314645</v>
      </c>
      <c r="P58">
        <f>P26</f>
        <v>9.9006694761300498</v>
      </c>
      <c r="Q58">
        <f t="shared" ref="Q58:U58" si="98">Q26</f>
        <v>8.6138613861386197</v>
      </c>
      <c r="R58">
        <f t="shared" si="98"/>
        <v>28.39043176865686</v>
      </c>
      <c r="S58">
        <f t="shared" si="98"/>
        <v>15.346534653465337</v>
      </c>
      <c r="T58">
        <f t="shared" si="98"/>
        <v>59.682670722811849</v>
      </c>
      <c r="U58">
        <f t="shared" si="98"/>
        <v>64.58776031800781</v>
      </c>
      <c r="W58">
        <f>W26</f>
        <v>8.3288383286183709</v>
      </c>
      <c r="X58">
        <f t="shared" ref="X58:AB58" si="99">X26</f>
        <v>7.8217821782178234</v>
      </c>
      <c r="Y58">
        <f t="shared" si="99"/>
        <v>27.85156634397719</v>
      </c>
      <c r="Z58">
        <f t="shared" si="99"/>
        <v>13.960396039603964</v>
      </c>
      <c r="AA58">
        <f t="shared" si="99"/>
        <v>60.95996064483662</v>
      </c>
      <c r="AB58">
        <f t="shared" si="99"/>
        <v>63.846458318019117</v>
      </c>
    </row>
    <row r="59" spans="1:28" x14ac:dyDescent="0.45">
      <c r="A59" s="2">
        <v>12</v>
      </c>
      <c r="B59">
        <f>B39</f>
        <v>6.3265553022873515</v>
      </c>
      <c r="C59">
        <f t="shared" ref="C59:G59" si="100">C39</f>
        <v>7.2277227722772341</v>
      </c>
      <c r="D59">
        <f t="shared" si="100"/>
        <v>13.698497382740305</v>
      </c>
      <c r="E59">
        <f t="shared" si="100"/>
        <v>10.396039603960402</v>
      </c>
      <c r="F59">
        <f t="shared" si="100"/>
        <v>56.093321496627098</v>
      </c>
      <c r="G59">
        <f t="shared" si="100"/>
        <v>70.595981928289902</v>
      </c>
      <c r="I59">
        <f>I39</f>
        <v>7.1839749647123456</v>
      </c>
      <c r="J59">
        <f t="shared" ref="J59:N59" si="101">J39</f>
        <v>4.9504950495049505</v>
      </c>
      <c r="K59">
        <f t="shared" si="101"/>
        <v>23.656879590551377</v>
      </c>
      <c r="L59">
        <f t="shared" si="101"/>
        <v>13.366336633663369</v>
      </c>
      <c r="M59">
        <f t="shared" si="101"/>
        <v>59.751259534862683</v>
      </c>
      <c r="N59">
        <f t="shared" si="101"/>
        <v>63.534387704904134</v>
      </c>
      <c r="P59">
        <f>P39</f>
        <v>9.2139484684134114</v>
      </c>
      <c r="Q59">
        <f t="shared" ref="Q59:U59" si="102">Q39</f>
        <v>8.4158415841584198</v>
      </c>
      <c r="R59">
        <f t="shared" si="102"/>
        <v>25.608907421073138</v>
      </c>
      <c r="S59">
        <f t="shared" si="102"/>
        <v>16.039603960396033</v>
      </c>
      <c r="T59">
        <f t="shared" si="102"/>
        <v>55.849556971688024</v>
      </c>
      <c r="U59">
        <f t="shared" si="102"/>
        <v>71.625266467252089</v>
      </c>
      <c r="W59">
        <f>W39</f>
        <v>8.9620214001853835</v>
      </c>
      <c r="X59">
        <f t="shared" ref="X59:AB59" si="103">X39</f>
        <v>8.2178217821782233</v>
      </c>
      <c r="Y59">
        <f t="shared" si="103"/>
        <v>28.78304429567665</v>
      </c>
      <c r="Z59">
        <f t="shared" si="103"/>
        <v>14.158415841584169</v>
      </c>
      <c r="AA59">
        <f t="shared" si="103"/>
        <v>60.730049589767646</v>
      </c>
      <c r="AB59">
        <f t="shared" si="103"/>
        <v>75.018914227230837</v>
      </c>
    </row>
    <row r="60" spans="1:28" x14ac:dyDescent="0.45">
      <c r="A60" s="2">
        <v>17</v>
      </c>
      <c r="B60">
        <f>B52</f>
        <v>8.5965655173666953</v>
      </c>
      <c r="C60">
        <f t="shared" ref="C60:G60" si="104">C52</f>
        <v>8.9108910891089188</v>
      </c>
      <c r="D60">
        <f t="shared" si="104"/>
        <v>15.441593944330197</v>
      </c>
      <c r="E60">
        <f t="shared" si="104"/>
        <v>10.891089108910901</v>
      </c>
      <c r="F60">
        <f t="shared" si="104"/>
        <v>58.83014515043736</v>
      </c>
      <c r="G60">
        <f t="shared" si="104"/>
        <v>69.658356469570435</v>
      </c>
      <c r="I60">
        <f>I52</f>
        <v>5.97607535242072</v>
      </c>
      <c r="J60">
        <f t="shared" ref="J60:N60" si="105">J52</f>
        <v>6.3366336633663369</v>
      </c>
      <c r="K60">
        <f t="shared" si="105"/>
        <v>20.450270143323593</v>
      </c>
      <c r="L60">
        <f t="shared" si="105"/>
        <v>12.57425742574258</v>
      </c>
      <c r="M60">
        <f t="shared" si="105"/>
        <v>60.312296792214923</v>
      </c>
      <c r="N60">
        <f t="shared" si="105"/>
        <v>72.195237799051171</v>
      </c>
      <c r="P60">
        <f>P52</f>
        <v>9.2513787583278564</v>
      </c>
      <c r="Q60">
        <f t="shared" ref="Q60:U60" si="106">Q52</f>
        <v>9.1089108910891134</v>
      </c>
      <c r="R60">
        <f t="shared" si="106"/>
        <v>28.327656360215041</v>
      </c>
      <c r="S60">
        <f t="shared" si="106"/>
        <v>19.603960396039614</v>
      </c>
      <c r="T60">
        <f t="shared" si="106"/>
        <v>58.81566968804249</v>
      </c>
      <c r="U60">
        <f t="shared" si="106"/>
        <v>63.669303538006581</v>
      </c>
      <c r="W60">
        <f>W52</f>
        <v>8.2953377324862263</v>
      </c>
      <c r="X60">
        <f t="shared" ref="X60:AB60" si="107">X52</f>
        <v>8.2178217821782269</v>
      </c>
      <c r="Y60">
        <f t="shared" si="107"/>
        <v>29.379013819895903</v>
      </c>
      <c r="Z60">
        <f t="shared" si="107"/>
        <v>17.227722772277225</v>
      </c>
      <c r="AA60">
        <f t="shared" si="107"/>
        <v>55.219874357509994</v>
      </c>
      <c r="AB60">
        <f t="shared" si="107"/>
        <v>66.264256351391865</v>
      </c>
    </row>
    <row r="62" spans="1:28" x14ac:dyDescent="0.45">
      <c r="A62" t="s">
        <v>15</v>
      </c>
    </row>
    <row r="63" spans="1:28" x14ac:dyDescent="0.45">
      <c r="A63" t="s">
        <v>16</v>
      </c>
      <c r="B63" t="s">
        <v>17</v>
      </c>
      <c r="I63" t="s">
        <v>18</v>
      </c>
      <c r="P63" t="s">
        <v>19</v>
      </c>
      <c r="W63" t="s">
        <v>20</v>
      </c>
    </row>
    <row r="64" spans="1:28" x14ac:dyDescent="0.45">
      <c r="A64" t="s">
        <v>21</v>
      </c>
      <c r="B64">
        <f>B14</f>
        <v>17.616580310880799</v>
      </c>
      <c r="C64">
        <f t="shared" ref="C64:G64" si="108">C14</f>
        <v>12.8712871287129</v>
      </c>
      <c r="D64">
        <f t="shared" si="108"/>
        <v>43.3420365535248</v>
      </c>
      <c r="E64">
        <f t="shared" si="108"/>
        <v>10.891089108910901</v>
      </c>
      <c r="F64">
        <f t="shared" si="108"/>
        <v>72.073101085094194</v>
      </c>
      <c r="G64">
        <f t="shared" si="108"/>
        <v>88.756636942963297</v>
      </c>
      <c r="I64">
        <f>I14</f>
        <v>10.427807486631</v>
      </c>
      <c r="J64">
        <f t="shared" ref="J64:N64" si="109">J14</f>
        <v>10.891089108910901</v>
      </c>
      <c r="K64">
        <f t="shared" si="109"/>
        <v>46.883468834688301</v>
      </c>
      <c r="L64">
        <f t="shared" si="109"/>
        <v>17.821782178217799</v>
      </c>
      <c r="M64">
        <f t="shared" si="109"/>
        <v>87.743920023070302</v>
      </c>
      <c r="N64">
        <f t="shared" si="109"/>
        <v>62.186812627579201</v>
      </c>
      <c r="P64">
        <f>P14</f>
        <v>18.041237113402101</v>
      </c>
      <c r="Q64">
        <f t="shared" ref="Q64:U64" si="110">Q14</f>
        <v>14.8514851485149</v>
      </c>
      <c r="R64">
        <f t="shared" si="110"/>
        <v>54.761904761904802</v>
      </c>
      <c r="S64">
        <f t="shared" si="110"/>
        <v>15.841584158415801</v>
      </c>
      <c r="T64">
        <f t="shared" si="110"/>
        <v>83.981430695896506</v>
      </c>
      <c r="U64">
        <f t="shared" si="110"/>
        <v>68.946175028696501</v>
      </c>
      <c r="W64">
        <f>W14</f>
        <v>20.1072386058981</v>
      </c>
      <c r="X64">
        <f t="shared" ref="X64:AB64" si="111">X14</f>
        <v>15.841584158415801</v>
      </c>
      <c r="Y64">
        <f t="shared" si="111"/>
        <v>53.664921465968597</v>
      </c>
      <c r="Z64">
        <f t="shared" si="111"/>
        <v>14.8514851485149</v>
      </c>
      <c r="AA64">
        <f t="shared" si="111"/>
        <v>76.887888674647002</v>
      </c>
      <c r="AB64">
        <f t="shared" si="111"/>
        <v>53.9697259274757</v>
      </c>
    </row>
    <row r="65" spans="1:28" x14ac:dyDescent="0.45">
      <c r="A65" s="2">
        <v>7</v>
      </c>
      <c r="B65">
        <f>B27</f>
        <v>18.974358974358999</v>
      </c>
      <c r="C65">
        <f t="shared" ref="C65:G65" si="112">C27</f>
        <v>11.881188118811901</v>
      </c>
      <c r="D65">
        <f t="shared" si="112"/>
        <v>35.340314136125698</v>
      </c>
      <c r="E65">
        <f t="shared" si="112"/>
        <v>20.7920792079208</v>
      </c>
      <c r="F65">
        <f t="shared" si="112"/>
        <v>73.897235525951203</v>
      </c>
      <c r="G65">
        <f t="shared" si="112"/>
        <v>97.989833249458599</v>
      </c>
      <c r="I65">
        <f>I27</f>
        <v>16.619718309859199</v>
      </c>
      <c r="J65">
        <f t="shared" ref="J65:N65" si="113">J27</f>
        <v>10.891089108910901</v>
      </c>
      <c r="K65">
        <f t="shared" si="113"/>
        <v>41.847826086956502</v>
      </c>
      <c r="L65">
        <f t="shared" si="113"/>
        <v>24.752475247524799</v>
      </c>
      <c r="M65">
        <f t="shared" si="113"/>
        <v>68.503429440602503</v>
      </c>
      <c r="N65">
        <f t="shared" si="113"/>
        <v>85.287614997936103</v>
      </c>
      <c r="P65">
        <f>P27</f>
        <v>23.936170212766001</v>
      </c>
      <c r="Q65">
        <f t="shared" ref="Q65:U65" si="114">Q27</f>
        <v>12.8712871287129</v>
      </c>
      <c r="R65">
        <f t="shared" si="114"/>
        <v>45.212765957446798</v>
      </c>
      <c r="S65">
        <f t="shared" si="114"/>
        <v>29.702970297029701</v>
      </c>
      <c r="T65">
        <f t="shared" si="114"/>
        <v>88.373828816348194</v>
      </c>
      <c r="U65">
        <f t="shared" si="114"/>
        <v>94.113123476825095</v>
      </c>
      <c r="W65">
        <f>W27</f>
        <v>13.5770234986945</v>
      </c>
      <c r="X65">
        <f t="shared" ref="X65:AB65" si="115">X27</f>
        <v>11.881188118811901</v>
      </c>
      <c r="Y65">
        <f t="shared" si="115"/>
        <v>47.721179624664899</v>
      </c>
      <c r="Z65">
        <f t="shared" si="115"/>
        <v>26.7326732673267</v>
      </c>
      <c r="AA65">
        <f t="shared" si="115"/>
        <v>91.404063307530095</v>
      </c>
      <c r="AB65">
        <f t="shared" si="115"/>
        <v>92.179857620256598</v>
      </c>
    </row>
    <row r="66" spans="1:28" x14ac:dyDescent="0.45">
      <c r="A66" s="2">
        <v>12</v>
      </c>
      <c r="B66">
        <f>B40</f>
        <v>10.4838709677419</v>
      </c>
      <c r="C66">
        <f t="shared" ref="C66:G66" si="116">C40</f>
        <v>14.8514851485149</v>
      </c>
      <c r="D66">
        <f t="shared" si="116"/>
        <v>20.867208672086701</v>
      </c>
      <c r="E66">
        <f t="shared" si="116"/>
        <v>16.8316831683168</v>
      </c>
      <c r="F66">
        <f t="shared" si="116"/>
        <v>76.969313150618305</v>
      </c>
      <c r="G66">
        <f t="shared" si="116"/>
        <v>94.135741386817102</v>
      </c>
      <c r="I66">
        <f>I40</f>
        <v>13.920454545454501</v>
      </c>
      <c r="J66">
        <f t="shared" ref="J66:N66" si="117">J40</f>
        <v>8.9108910891089099</v>
      </c>
      <c r="K66">
        <f t="shared" si="117"/>
        <v>36.842105263157897</v>
      </c>
      <c r="L66">
        <f t="shared" si="117"/>
        <v>18.8118811881188</v>
      </c>
      <c r="M66">
        <f t="shared" si="117"/>
        <v>77.837275446562401</v>
      </c>
      <c r="N66">
        <f t="shared" si="117"/>
        <v>91.579352109968298</v>
      </c>
      <c r="P66">
        <f>P40</f>
        <v>12.2395833333333</v>
      </c>
      <c r="Q66">
        <f t="shared" ref="Q66:U66" si="118">Q40</f>
        <v>12.8712871287129</v>
      </c>
      <c r="R66">
        <f t="shared" si="118"/>
        <v>38.997214484679702</v>
      </c>
      <c r="S66">
        <f t="shared" si="118"/>
        <v>28.712871287128699</v>
      </c>
      <c r="T66">
        <f t="shared" si="118"/>
        <v>75.629201983590704</v>
      </c>
      <c r="U66">
        <f t="shared" si="118"/>
        <v>96.759418945892307</v>
      </c>
      <c r="W66">
        <f>W40</f>
        <v>16.358839050131898</v>
      </c>
      <c r="X66">
        <f t="shared" ref="X66:AB66" si="119">X40</f>
        <v>14.8514851485149</v>
      </c>
      <c r="Y66">
        <f t="shared" si="119"/>
        <v>39.276485788113703</v>
      </c>
      <c r="Z66">
        <f t="shared" si="119"/>
        <v>19.801980198019798</v>
      </c>
      <c r="AA66">
        <f t="shared" si="119"/>
        <v>82.384040802709606</v>
      </c>
      <c r="AB66">
        <f t="shared" si="119"/>
        <v>88.229639640149003</v>
      </c>
    </row>
    <row r="67" spans="1:28" x14ac:dyDescent="0.45">
      <c r="A67" s="2">
        <v>17</v>
      </c>
      <c r="B67">
        <f>B53</f>
        <v>13.9275766016713</v>
      </c>
      <c r="C67">
        <f t="shared" ref="C67:G67" si="120">C53</f>
        <v>11.881188118811901</v>
      </c>
      <c r="D67">
        <f t="shared" si="120"/>
        <v>23.9669421487603</v>
      </c>
      <c r="E67">
        <f t="shared" si="120"/>
        <v>17.821782178217799</v>
      </c>
      <c r="F67">
        <f t="shared" si="120"/>
        <v>69.5777801652238</v>
      </c>
      <c r="G67">
        <f t="shared" si="120"/>
        <v>99.159744643796202</v>
      </c>
      <c r="I67">
        <f>I53</f>
        <v>9.4488188976377891</v>
      </c>
      <c r="J67">
        <f t="shared" ref="J67:N67" si="121">J53</f>
        <v>10.891089108910901</v>
      </c>
      <c r="K67">
        <f t="shared" si="121"/>
        <v>48.148148148148103</v>
      </c>
      <c r="L67">
        <f t="shared" si="121"/>
        <v>22.7722772277228</v>
      </c>
      <c r="M67">
        <f t="shared" si="121"/>
        <v>85.559595365590198</v>
      </c>
      <c r="N67">
        <f t="shared" si="121"/>
        <v>82.510135650915203</v>
      </c>
      <c r="P67">
        <f>P53</f>
        <v>17.728531855955701</v>
      </c>
      <c r="Q67">
        <f t="shared" ref="Q67:U67" si="122">Q53</f>
        <v>12.8712871287129</v>
      </c>
      <c r="R67">
        <f t="shared" si="122"/>
        <v>35.989010989011</v>
      </c>
      <c r="S67">
        <f t="shared" si="122"/>
        <v>23.762376237623801</v>
      </c>
      <c r="T67">
        <f t="shared" si="122"/>
        <v>75.5964060141023</v>
      </c>
      <c r="U67">
        <f t="shared" si="122"/>
        <v>93.550502965773404</v>
      </c>
      <c r="W67">
        <f>W53</f>
        <v>13.0890052356021</v>
      </c>
      <c r="X67">
        <f t="shared" ref="X67:AB67" si="123">X53</f>
        <v>13.8613861386139</v>
      </c>
      <c r="Y67">
        <f t="shared" si="123"/>
        <v>49.202127659574501</v>
      </c>
      <c r="Z67">
        <f t="shared" si="123"/>
        <v>41.5841584158416</v>
      </c>
      <c r="AA67">
        <f t="shared" si="123"/>
        <v>85.479301785118594</v>
      </c>
      <c r="AB67">
        <f t="shared" si="123"/>
        <v>79.682331454161996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Houston Clear Lake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Yipeng</dc:creator>
  <cp:lastModifiedBy>Yang, Yipeng</cp:lastModifiedBy>
  <dcterms:created xsi:type="dcterms:W3CDTF">2025-12-08T17:32:47Z</dcterms:created>
  <dcterms:modified xsi:type="dcterms:W3CDTF">2025-12-18T21:24:54Z</dcterms:modified>
</cp:coreProperties>
</file>