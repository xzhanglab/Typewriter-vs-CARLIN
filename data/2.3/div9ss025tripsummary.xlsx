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gy\OneDrive - University of Houston-Clear Lake\Documents\Research\simuCarlin\div9ss025trip\"/>
    </mc:Choice>
  </mc:AlternateContent>
  <xr:revisionPtr revIDLastSave="0" documentId="13_ncr:1_{B67E4A73-6377-42D5-AA89-E1C2D3F8746A}" xr6:coauthVersionLast="47" xr6:coauthVersionMax="47" xr10:uidLastSave="{00000000-0000-0000-0000-000000000000}"/>
  <bookViews>
    <workbookView xWindow="-98" yWindow="-98" windowWidth="20715" windowHeight="13155" xr2:uid="{5E5E1390-5F26-4FA7-AB82-E27107303A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67" i="1" l="1"/>
  <c r="AA67" i="1"/>
  <c r="Z67" i="1"/>
  <c r="Y67" i="1"/>
  <c r="X67" i="1"/>
  <c r="W67" i="1"/>
  <c r="U67" i="1"/>
  <c r="T67" i="1"/>
  <c r="S67" i="1"/>
  <c r="R67" i="1"/>
  <c r="Q67" i="1"/>
  <c r="P67" i="1"/>
  <c r="N67" i="1"/>
  <c r="M67" i="1"/>
  <c r="L67" i="1"/>
  <c r="K67" i="1"/>
  <c r="J67" i="1"/>
  <c r="I67" i="1"/>
  <c r="G67" i="1"/>
  <c r="F67" i="1"/>
  <c r="E67" i="1"/>
  <c r="D67" i="1"/>
  <c r="C67" i="1"/>
  <c r="B67" i="1"/>
  <c r="AB66" i="1"/>
  <c r="AA66" i="1"/>
  <c r="Z66" i="1"/>
  <c r="Y66" i="1"/>
  <c r="X66" i="1"/>
  <c r="W66" i="1"/>
  <c r="U66" i="1"/>
  <c r="T66" i="1"/>
  <c r="S66" i="1"/>
  <c r="R66" i="1"/>
  <c r="Q66" i="1"/>
  <c r="P66" i="1"/>
  <c r="N66" i="1"/>
  <c r="M66" i="1"/>
  <c r="L66" i="1"/>
  <c r="K66" i="1"/>
  <c r="J66" i="1"/>
  <c r="I66" i="1"/>
  <c r="G66" i="1"/>
  <c r="F66" i="1"/>
  <c r="E66" i="1"/>
  <c r="D66" i="1"/>
  <c r="C66" i="1"/>
  <c r="B66" i="1"/>
  <c r="AB65" i="1"/>
  <c r="AA65" i="1"/>
  <c r="Z65" i="1"/>
  <c r="Y65" i="1"/>
  <c r="X65" i="1"/>
  <c r="W65" i="1"/>
  <c r="U65" i="1"/>
  <c r="T65" i="1"/>
  <c r="S65" i="1"/>
  <c r="R65" i="1"/>
  <c r="Q65" i="1"/>
  <c r="P65" i="1"/>
  <c r="N65" i="1"/>
  <c r="M65" i="1"/>
  <c r="L65" i="1"/>
  <c r="K65" i="1"/>
  <c r="J65" i="1"/>
  <c r="I65" i="1"/>
  <c r="G65" i="1"/>
  <c r="F65" i="1"/>
  <c r="E65" i="1"/>
  <c r="D65" i="1"/>
  <c r="C65" i="1"/>
  <c r="B65" i="1"/>
  <c r="AB64" i="1"/>
  <c r="AA64" i="1"/>
  <c r="Z64" i="1"/>
  <c r="Y64" i="1"/>
  <c r="X64" i="1"/>
  <c r="W64" i="1"/>
  <c r="U64" i="1"/>
  <c r="T64" i="1"/>
  <c r="S64" i="1"/>
  <c r="R64" i="1"/>
  <c r="Q64" i="1"/>
  <c r="P64" i="1"/>
  <c r="N64" i="1"/>
  <c r="M64" i="1"/>
  <c r="L64" i="1"/>
  <c r="K64" i="1"/>
  <c r="J64" i="1"/>
  <c r="I64" i="1"/>
  <c r="G64" i="1"/>
  <c r="F64" i="1"/>
  <c r="E64" i="1"/>
  <c r="D64" i="1"/>
  <c r="C64" i="1"/>
  <c r="B64" i="1"/>
  <c r="AB60" i="1"/>
  <c r="AA60" i="1"/>
  <c r="Z60" i="1"/>
  <c r="Y60" i="1"/>
  <c r="X60" i="1"/>
  <c r="W60" i="1"/>
  <c r="U60" i="1"/>
  <c r="T60" i="1"/>
  <c r="S60" i="1"/>
  <c r="R60" i="1"/>
  <c r="Q60" i="1"/>
  <c r="P60" i="1"/>
  <c r="N60" i="1"/>
  <c r="M60" i="1"/>
  <c r="L60" i="1"/>
  <c r="K60" i="1"/>
  <c r="J60" i="1"/>
  <c r="I60" i="1"/>
  <c r="G60" i="1"/>
  <c r="F60" i="1"/>
  <c r="E60" i="1"/>
  <c r="D60" i="1"/>
  <c r="C60" i="1"/>
  <c r="B60" i="1"/>
  <c r="AB59" i="1"/>
  <c r="AA59" i="1"/>
  <c r="Z59" i="1"/>
  <c r="Y59" i="1"/>
  <c r="X59" i="1"/>
  <c r="W59" i="1"/>
  <c r="U59" i="1"/>
  <c r="T59" i="1"/>
  <c r="S59" i="1"/>
  <c r="R59" i="1"/>
  <c r="Q59" i="1"/>
  <c r="P59" i="1"/>
  <c r="N59" i="1"/>
  <c r="M59" i="1"/>
  <c r="L59" i="1"/>
  <c r="K59" i="1"/>
  <c r="J59" i="1"/>
  <c r="I59" i="1"/>
  <c r="G59" i="1"/>
  <c r="F59" i="1"/>
  <c r="E59" i="1"/>
  <c r="D59" i="1"/>
  <c r="C59" i="1"/>
  <c r="B59" i="1"/>
  <c r="AB58" i="1"/>
  <c r="AA58" i="1"/>
  <c r="Z58" i="1"/>
  <c r="Y58" i="1"/>
  <c r="X58" i="1"/>
  <c r="W58" i="1"/>
  <c r="U58" i="1"/>
  <c r="T58" i="1"/>
  <c r="S58" i="1"/>
  <c r="R58" i="1"/>
  <c r="Q58" i="1"/>
  <c r="P58" i="1"/>
  <c r="N58" i="1"/>
  <c r="M58" i="1"/>
  <c r="L58" i="1"/>
  <c r="K58" i="1"/>
  <c r="J58" i="1"/>
  <c r="I58" i="1"/>
  <c r="G58" i="1"/>
  <c r="F58" i="1"/>
  <c r="E58" i="1"/>
  <c r="D58" i="1"/>
  <c r="C58" i="1"/>
  <c r="B58" i="1"/>
  <c r="AB57" i="1"/>
  <c r="AA57" i="1"/>
  <c r="Z57" i="1"/>
  <c r="Y57" i="1"/>
  <c r="X57" i="1"/>
  <c r="W57" i="1"/>
  <c r="U57" i="1"/>
  <c r="T57" i="1"/>
  <c r="S57" i="1"/>
  <c r="R57" i="1"/>
  <c r="Q57" i="1"/>
  <c r="P57" i="1"/>
  <c r="N57" i="1"/>
  <c r="M57" i="1"/>
  <c r="L57" i="1"/>
  <c r="K57" i="1"/>
  <c r="J57" i="1"/>
  <c r="I57" i="1"/>
  <c r="G57" i="1"/>
  <c r="F57" i="1"/>
  <c r="E57" i="1"/>
  <c r="D57" i="1"/>
  <c r="C57" i="1"/>
  <c r="B57" i="1"/>
  <c r="AB53" i="1"/>
  <c r="AA53" i="1"/>
  <c r="Z53" i="1"/>
  <c r="Y53" i="1"/>
  <c r="X53" i="1"/>
  <c r="W53" i="1"/>
  <c r="U53" i="1"/>
  <c r="T53" i="1"/>
  <c r="S53" i="1"/>
  <c r="R53" i="1"/>
  <c r="Q53" i="1"/>
  <c r="P53" i="1"/>
  <c r="N53" i="1"/>
  <c r="M53" i="1"/>
  <c r="L53" i="1"/>
  <c r="K53" i="1"/>
  <c r="J53" i="1"/>
  <c r="I53" i="1"/>
  <c r="G53" i="1"/>
  <c r="F53" i="1"/>
  <c r="E53" i="1"/>
  <c r="D53" i="1"/>
  <c r="C53" i="1"/>
  <c r="B53" i="1"/>
  <c r="AB40" i="1"/>
  <c r="AA40" i="1"/>
  <c r="Z40" i="1"/>
  <c r="Y40" i="1"/>
  <c r="X40" i="1"/>
  <c r="W40" i="1"/>
  <c r="U40" i="1"/>
  <c r="T40" i="1"/>
  <c r="S40" i="1"/>
  <c r="R40" i="1"/>
  <c r="Q40" i="1"/>
  <c r="P40" i="1"/>
  <c r="N40" i="1"/>
  <c r="M40" i="1"/>
  <c r="L40" i="1"/>
  <c r="K40" i="1"/>
  <c r="J40" i="1"/>
  <c r="I40" i="1"/>
  <c r="G40" i="1"/>
  <c r="F40" i="1"/>
  <c r="E40" i="1"/>
  <c r="D40" i="1"/>
  <c r="C40" i="1"/>
  <c r="B40" i="1"/>
  <c r="AB27" i="1"/>
  <c r="AA27" i="1"/>
  <c r="Z27" i="1"/>
  <c r="Y27" i="1"/>
  <c r="X27" i="1"/>
  <c r="W27" i="1"/>
  <c r="U27" i="1"/>
  <c r="T27" i="1"/>
  <c r="S27" i="1"/>
  <c r="R27" i="1"/>
  <c r="Q27" i="1"/>
  <c r="P27" i="1"/>
  <c r="N27" i="1"/>
  <c r="M27" i="1"/>
  <c r="L27" i="1"/>
  <c r="K27" i="1"/>
  <c r="J27" i="1"/>
  <c r="I27" i="1"/>
  <c r="G27" i="1"/>
  <c r="F27" i="1"/>
  <c r="E27" i="1"/>
  <c r="D27" i="1"/>
  <c r="C27" i="1"/>
  <c r="B27" i="1"/>
  <c r="AB14" i="1"/>
  <c r="AA14" i="1"/>
  <c r="Z14" i="1"/>
  <c r="Y14" i="1"/>
  <c r="X14" i="1"/>
  <c r="W14" i="1"/>
  <c r="U14" i="1"/>
  <c r="T14" i="1"/>
  <c r="S14" i="1"/>
  <c r="R14" i="1"/>
  <c r="Q14" i="1"/>
  <c r="P14" i="1"/>
  <c r="N14" i="1"/>
  <c r="M14" i="1"/>
  <c r="L14" i="1"/>
  <c r="K14" i="1"/>
  <c r="J14" i="1"/>
  <c r="I14" i="1"/>
  <c r="C14" i="1"/>
  <c r="D14" i="1"/>
  <c r="E14" i="1"/>
  <c r="F14" i="1"/>
  <c r="G14" i="1"/>
  <c r="B14" i="1"/>
  <c r="AB52" i="1"/>
  <c r="AA52" i="1"/>
  <c r="Z52" i="1"/>
  <c r="Y52" i="1"/>
  <c r="X52" i="1"/>
  <c r="W52" i="1"/>
  <c r="U52" i="1"/>
  <c r="T52" i="1"/>
  <c r="S52" i="1"/>
  <c r="R52" i="1"/>
  <c r="Q52" i="1"/>
  <c r="P52" i="1"/>
  <c r="N52" i="1"/>
  <c r="M52" i="1"/>
  <c r="L52" i="1"/>
  <c r="K52" i="1"/>
  <c r="J52" i="1"/>
  <c r="I52" i="1"/>
  <c r="G52" i="1"/>
  <c r="F52" i="1"/>
  <c r="E52" i="1"/>
  <c r="D52" i="1"/>
  <c r="C52" i="1"/>
  <c r="B52" i="1"/>
  <c r="AB39" i="1"/>
  <c r="AA39" i="1"/>
  <c r="Z39" i="1"/>
  <c r="Y39" i="1"/>
  <c r="X39" i="1"/>
  <c r="W39" i="1"/>
  <c r="U39" i="1"/>
  <c r="T39" i="1"/>
  <c r="S39" i="1"/>
  <c r="R39" i="1"/>
  <c r="Q39" i="1"/>
  <c r="P39" i="1"/>
  <c r="N39" i="1"/>
  <c r="M39" i="1"/>
  <c r="L39" i="1"/>
  <c r="K39" i="1"/>
  <c r="J39" i="1"/>
  <c r="I39" i="1"/>
  <c r="G39" i="1"/>
  <c r="F39" i="1"/>
  <c r="E39" i="1"/>
  <c r="D39" i="1"/>
  <c r="C39" i="1"/>
  <c r="B39" i="1"/>
  <c r="AB26" i="1"/>
  <c r="AA26" i="1"/>
  <c r="Z26" i="1"/>
  <c r="Y26" i="1"/>
  <c r="X26" i="1"/>
  <c r="W26" i="1"/>
  <c r="U26" i="1"/>
  <c r="T26" i="1"/>
  <c r="S26" i="1"/>
  <c r="R26" i="1"/>
  <c r="Q26" i="1"/>
  <c r="P26" i="1"/>
  <c r="N26" i="1"/>
  <c r="M26" i="1"/>
  <c r="L26" i="1"/>
  <c r="K26" i="1"/>
  <c r="J26" i="1"/>
  <c r="I26" i="1"/>
  <c r="G26" i="1"/>
  <c r="F26" i="1"/>
  <c r="E26" i="1"/>
  <c r="D26" i="1"/>
  <c r="C26" i="1"/>
  <c r="B26" i="1"/>
  <c r="AB13" i="1"/>
  <c r="AA13" i="1"/>
  <c r="Z13" i="1"/>
  <c r="Y13" i="1"/>
  <c r="X13" i="1"/>
  <c r="W13" i="1"/>
  <c r="U13" i="1"/>
  <c r="T13" i="1"/>
  <c r="S13" i="1"/>
  <c r="R13" i="1"/>
  <c r="Q13" i="1"/>
  <c r="P13" i="1"/>
  <c r="N13" i="1"/>
  <c r="M13" i="1"/>
  <c r="L13" i="1"/>
  <c r="K13" i="1"/>
  <c r="J13" i="1"/>
  <c r="I13" i="1"/>
  <c r="C13" i="1"/>
  <c r="D13" i="1"/>
  <c r="E13" i="1"/>
  <c r="F13" i="1"/>
  <c r="G13" i="1"/>
  <c r="B13" i="1"/>
</calcChain>
</file>

<file path=xl/sharedStrings.xml><?xml version="1.0" encoding="utf-8"?>
<sst xmlns="http://schemas.openxmlformats.org/spreadsheetml/2006/main" count="36" uniqueCount="22">
  <si>
    <t>tarn = 2</t>
  </si>
  <si>
    <t>tanlen = 2</t>
  </si>
  <si>
    <t>carlin all</t>
  </si>
  <si>
    <t>carlin div</t>
  </si>
  <si>
    <t>tw all</t>
  </si>
  <si>
    <t>tw div</t>
  </si>
  <si>
    <t>tw triplet</t>
  </si>
  <si>
    <t>carlin triplet</t>
  </si>
  <si>
    <t>tanlen = 3</t>
  </si>
  <si>
    <t>tanlen = 4</t>
  </si>
  <si>
    <t>tanlen = 5</t>
  </si>
  <si>
    <t>tarn = 7</t>
  </si>
  <si>
    <t>tarn = 12</t>
  </si>
  <si>
    <t>tarn = 17</t>
  </si>
  <si>
    <t>avg</t>
  </si>
  <si>
    <t>max</t>
  </si>
  <si>
    <t>summary</t>
  </si>
  <si>
    <t>tarlen=2</t>
  </si>
  <si>
    <t>tarlen=3</t>
  </si>
  <si>
    <t>tarlen=4</t>
  </si>
  <si>
    <t>tarlen=5</t>
  </si>
  <si>
    <t>tarn=2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</si>
</sst>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RF vs Triplet Accuracy - Target</a:t>
            </a:r>
            <a:r>
              <a:rPr lang="en-US" baseline="0"/>
              <a:t> Length =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CARLIN RF 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Sheet1!$B$57:$B$60</c:f>
              <c:numCache>
                <c:formatCode>General</c:formatCode>
                <c:ptCount val="4"/>
                <c:pt idx="0">
                  <c:v>8.0064918387279409</c:v>
                </c:pt>
                <c:pt idx="1">
                  <c:v>12.273360618405807</c:v>
                </c:pt>
                <c:pt idx="2">
                  <c:v>7.6650526573566777</c:v>
                </c:pt>
                <c:pt idx="3">
                  <c:v>8.3172083410064097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6-4C58-8746-5F5609D18DC1}"/>
            </c:ext>
          </c:extLst>
        </c:ser>
        <c:ser>
          <c:idx val="1"/>
          <c:order val="1"/>
          <c:tx>
            <c:v>CARLIN RF Dividing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Sheet1!$C$57:$C$60</c:f>
              <c:numCache>
                <c:formatCode>General</c:formatCode>
                <c:ptCount val="4"/>
                <c:pt idx="0">
                  <c:v>8.9682539682539666</c:v>
                </c:pt>
                <c:pt idx="1">
                  <c:v>13.650793650793654</c:v>
                </c:pt>
                <c:pt idx="2">
                  <c:v>8.730158730158724</c:v>
                </c:pt>
                <c:pt idx="3">
                  <c:v>9.5238095238095219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86-4C58-8746-5F5609D18DC1}"/>
            </c:ext>
          </c:extLst>
        </c:ser>
        <c:ser>
          <c:idx val="2"/>
          <c:order val="2"/>
          <c:tx>
            <c:v>Typewriter RF All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Sheet1!$D$57:$D$60</c:f>
              <c:numCache>
                <c:formatCode>General</c:formatCode>
                <c:ptCount val="4"/>
                <c:pt idx="0">
                  <c:v>23.2176090034433</c:v>
                </c:pt>
                <c:pt idx="1">
                  <c:v>23.158821797478822</c:v>
                </c:pt>
                <c:pt idx="2">
                  <c:v>16.449416129367357</c:v>
                </c:pt>
                <c:pt idx="3">
                  <c:v>13.33482426138691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86-4C58-8746-5F5609D18DC1}"/>
            </c:ext>
          </c:extLst>
        </c:ser>
        <c:ser>
          <c:idx val="3"/>
          <c:order val="3"/>
          <c:tx>
            <c:v>Typewriter RF Dividing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Sheet1!$E$57:$E$60</c:f>
              <c:numCache>
                <c:formatCode>General</c:formatCode>
                <c:ptCount val="4"/>
                <c:pt idx="0">
                  <c:v>8.3333333333333321</c:v>
                </c:pt>
                <c:pt idx="1">
                  <c:v>21.666666666666671</c:v>
                </c:pt>
                <c:pt idx="2">
                  <c:v>18.571428571428569</c:v>
                </c:pt>
                <c:pt idx="3">
                  <c:v>17.222222222222232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86-4C58-8746-5F5609D18DC1}"/>
            </c:ext>
          </c:extLst>
        </c:ser>
        <c:ser>
          <c:idx val="4"/>
          <c:order val="4"/>
          <c:tx>
            <c:v>CARLIN Triplet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Sheet1!$F$57:$F$60</c:f>
              <c:numCache>
                <c:formatCode>General</c:formatCode>
                <c:ptCount val="4"/>
                <c:pt idx="0">
                  <c:v>55.966676040494939</c:v>
                </c:pt>
                <c:pt idx="1">
                  <c:v>49.521641826021764</c:v>
                </c:pt>
                <c:pt idx="2">
                  <c:v>60.562371109861274</c:v>
                </c:pt>
                <c:pt idx="3">
                  <c:v>59.401627530933624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86-4C58-8746-5F5609D18DC1}"/>
            </c:ext>
          </c:extLst>
        </c:ser>
        <c:ser>
          <c:idx val="5"/>
          <c:order val="5"/>
          <c:tx>
            <c:v>Typewriter Triplet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Sheet1!$G$57:$G$60</c:f>
              <c:numCache>
                <c:formatCode>General</c:formatCode>
                <c:ptCount val="4"/>
                <c:pt idx="0">
                  <c:v>37.083714145106867</c:v>
                </c:pt>
                <c:pt idx="1">
                  <c:v>63.208925056242983</c:v>
                </c:pt>
                <c:pt idx="2">
                  <c:v>72.502548509561308</c:v>
                </c:pt>
                <c:pt idx="3">
                  <c:v>82.133424728158985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486-4C58-8746-5F5609D18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205264"/>
        <c:axId val="488208144"/>
      </c:barChart>
      <c:catAx>
        <c:axId val="488205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8208144"/>
        <c:crosses val="autoZero"/>
        <c:auto val="1"/>
        <c:lblAlgn val="ctr"/>
        <c:lblOffset val="100"/>
        <c:noMultiLvlLbl val="0"/>
      </c:catAx>
      <c:valAx>
        <c:axId val="48820814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0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0095144356955384E-2"/>
          <c:y val="0.87134608173978256"/>
          <c:w val="0.80869860017497819"/>
          <c:h val="0.105102075006581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RF vs Triplet Accuracy - Target</a:t>
            </a:r>
            <a:r>
              <a:rPr lang="en-US" baseline="0"/>
              <a:t> Length = 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CARLIN RF 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Sheet1!$I$57:$I$60</c:f>
              <c:numCache>
                <c:formatCode>General</c:formatCode>
                <c:ptCount val="4"/>
                <c:pt idx="0">
                  <c:v>9.0261685675855112</c:v>
                </c:pt>
                <c:pt idx="1">
                  <c:v>8.4331436247217422</c:v>
                </c:pt>
                <c:pt idx="2">
                  <c:v>9.4507957082768144</c:v>
                </c:pt>
                <c:pt idx="3">
                  <c:v>9.6580915849467548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03-4DAB-8ACC-8E74E6C90A01}"/>
            </c:ext>
          </c:extLst>
        </c:ser>
        <c:ser>
          <c:idx val="1"/>
          <c:order val="1"/>
          <c:tx>
            <c:v>CARLIN RF Dividing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Sheet1!$J$57:$J$60</c:f>
              <c:numCache>
                <c:formatCode>General</c:formatCode>
                <c:ptCount val="4"/>
                <c:pt idx="0">
                  <c:v>12.301587301587308</c:v>
                </c:pt>
                <c:pt idx="1">
                  <c:v>9.0476190476190492</c:v>
                </c:pt>
                <c:pt idx="2">
                  <c:v>11.507936507936504</c:v>
                </c:pt>
                <c:pt idx="3">
                  <c:v>10.476190476190474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03-4DAB-8ACC-8E74E6C90A01}"/>
            </c:ext>
          </c:extLst>
        </c:ser>
        <c:ser>
          <c:idx val="2"/>
          <c:order val="2"/>
          <c:tx>
            <c:v>Typewriter RF All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Sheet1!$K$57:$K$60</c:f>
              <c:numCache>
                <c:formatCode>General</c:formatCode>
                <c:ptCount val="4"/>
                <c:pt idx="0">
                  <c:v>23.243304130196318</c:v>
                </c:pt>
                <c:pt idx="1">
                  <c:v>21.938145759800417</c:v>
                </c:pt>
                <c:pt idx="2">
                  <c:v>23.859957416628909</c:v>
                </c:pt>
                <c:pt idx="3">
                  <c:v>21.144700588470332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03-4DAB-8ACC-8E74E6C90A01}"/>
            </c:ext>
          </c:extLst>
        </c:ser>
        <c:ser>
          <c:idx val="3"/>
          <c:order val="3"/>
          <c:tx>
            <c:v>Typewriter RF Dividing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Sheet1!$L$57:$L$60</c:f>
              <c:numCache>
                <c:formatCode>General</c:formatCode>
                <c:ptCount val="4"/>
                <c:pt idx="0">
                  <c:v>9.5238095238095202</c:v>
                </c:pt>
                <c:pt idx="1">
                  <c:v>20.158730158730172</c:v>
                </c:pt>
                <c:pt idx="2">
                  <c:v>23.650793650793638</c:v>
                </c:pt>
                <c:pt idx="3">
                  <c:v>20.63492063492064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03-4DAB-8ACC-8E74E6C90A01}"/>
            </c:ext>
          </c:extLst>
        </c:ser>
        <c:ser>
          <c:idx val="4"/>
          <c:order val="4"/>
          <c:tx>
            <c:v>CARLIN Triplet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Sheet1!$M$57:$M$60</c:f>
              <c:numCache>
                <c:formatCode>General</c:formatCode>
                <c:ptCount val="4"/>
                <c:pt idx="0">
                  <c:v>54.876734158230235</c:v>
                </c:pt>
                <c:pt idx="1">
                  <c:v>57.757282292838383</c:v>
                </c:pt>
                <c:pt idx="2">
                  <c:v>61.744762373453327</c:v>
                </c:pt>
                <c:pt idx="3">
                  <c:v>55.751693147731523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03-4DAB-8ACC-8E74E6C90A01}"/>
            </c:ext>
          </c:extLst>
        </c:ser>
        <c:ser>
          <c:idx val="5"/>
          <c:order val="5"/>
          <c:tx>
            <c:v>Typewriter Triplet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Sheet1!$N$57:$N$60</c:f>
              <c:numCache>
                <c:formatCode>General</c:formatCode>
                <c:ptCount val="4"/>
                <c:pt idx="0">
                  <c:v>41.46972839332583</c:v>
                </c:pt>
                <c:pt idx="1">
                  <c:v>69.455819975628032</c:v>
                </c:pt>
                <c:pt idx="2">
                  <c:v>77.31723964191977</c:v>
                </c:pt>
                <c:pt idx="3">
                  <c:v>73.462721456692918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A03-4DAB-8ACC-8E74E6C90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205264"/>
        <c:axId val="488208144"/>
      </c:barChart>
      <c:catAx>
        <c:axId val="488205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8208144"/>
        <c:crosses val="autoZero"/>
        <c:auto val="1"/>
        <c:lblAlgn val="ctr"/>
        <c:lblOffset val="100"/>
        <c:noMultiLvlLbl val="0"/>
      </c:catAx>
      <c:valAx>
        <c:axId val="48820814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0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0095144356955384E-2"/>
          <c:y val="0.87134608173978256"/>
          <c:w val="0.80869860017497819"/>
          <c:h val="0.105102075006581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RF vs Triplet Accuracy - Target</a:t>
            </a:r>
            <a:r>
              <a:rPr lang="en-US" baseline="0"/>
              <a:t> Length = 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CARLIN RF 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Sheet1!$P$57:$P$60</c:f>
              <c:numCache>
                <c:formatCode>General</c:formatCode>
                <c:ptCount val="4"/>
                <c:pt idx="0">
                  <c:v>8.4779019940334894</c:v>
                </c:pt>
                <c:pt idx="1">
                  <c:v>9.2936353121875364</c:v>
                </c:pt>
                <c:pt idx="2">
                  <c:v>9.1763288757746544</c:v>
                </c:pt>
                <c:pt idx="3">
                  <c:v>8.5795668189346017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76-4AF7-9660-95CB33AA1A52}"/>
            </c:ext>
          </c:extLst>
        </c:ser>
        <c:ser>
          <c:idx val="1"/>
          <c:order val="1"/>
          <c:tx>
            <c:v>CARLIN RF Dividing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Sheet1!$Q$57:$Q$60</c:f>
              <c:numCache>
                <c:formatCode>General</c:formatCode>
                <c:ptCount val="4"/>
                <c:pt idx="0">
                  <c:v>9.8412698412698401</c:v>
                </c:pt>
                <c:pt idx="1">
                  <c:v>11.269841269841269</c:v>
                </c:pt>
                <c:pt idx="2">
                  <c:v>10.555555555555552</c:v>
                </c:pt>
                <c:pt idx="3">
                  <c:v>9.6825396825396819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76-4AF7-9660-95CB33AA1A52}"/>
            </c:ext>
          </c:extLst>
        </c:ser>
        <c:ser>
          <c:idx val="2"/>
          <c:order val="2"/>
          <c:tx>
            <c:v>Typewriter RF All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Sheet1!$R$57:$R$60</c:f>
              <c:numCache>
                <c:formatCode>General</c:formatCode>
                <c:ptCount val="4"/>
                <c:pt idx="0">
                  <c:v>36.192067625730644</c:v>
                </c:pt>
                <c:pt idx="1">
                  <c:v>23.352532021171648</c:v>
                </c:pt>
                <c:pt idx="2">
                  <c:v>22.924845317122358</c:v>
                </c:pt>
                <c:pt idx="3">
                  <c:v>21.752392793283697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76-4AF7-9660-95CB33AA1A52}"/>
            </c:ext>
          </c:extLst>
        </c:ser>
        <c:ser>
          <c:idx val="3"/>
          <c:order val="3"/>
          <c:tx>
            <c:v>Typewriter RF Dividing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Sheet1!$S$57:$S$60</c:f>
              <c:numCache>
                <c:formatCode>General</c:formatCode>
                <c:ptCount val="4"/>
                <c:pt idx="0">
                  <c:v>9.1269841269841248</c:v>
                </c:pt>
                <c:pt idx="1">
                  <c:v>20.476190476190467</c:v>
                </c:pt>
                <c:pt idx="2">
                  <c:v>20.079365079365083</c:v>
                </c:pt>
                <c:pt idx="3">
                  <c:v>21.507936507936517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76-4AF7-9660-95CB33AA1A52}"/>
            </c:ext>
          </c:extLst>
        </c:ser>
        <c:ser>
          <c:idx val="4"/>
          <c:order val="4"/>
          <c:tx>
            <c:v>CARLIN Triplet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Sheet1!$T$57:$T$60</c:f>
              <c:numCache>
                <c:formatCode>General</c:formatCode>
                <c:ptCount val="4"/>
                <c:pt idx="0">
                  <c:v>58.027951584176982</c:v>
                </c:pt>
                <c:pt idx="1">
                  <c:v>55.792762232845895</c:v>
                </c:pt>
                <c:pt idx="2">
                  <c:v>52.488399887514049</c:v>
                </c:pt>
                <c:pt idx="3">
                  <c:v>60.790506655418064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76-4AF7-9660-95CB33AA1A52}"/>
            </c:ext>
          </c:extLst>
        </c:ser>
        <c:ser>
          <c:idx val="5"/>
          <c:order val="5"/>
          <c:tx>
            <c:v>Typewriter Triplet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Sheet1!$U$57:$U$60</c:f>
              <c:numCache>
                <c:formatCode>General</c:formatCode>
                <c:ptCount val="4"/>
                <c:pt idx="0">
                  <c:v>32.451109626921628</c:v>
                </c:pt>
                <c:pt idx="1">
                  <c:v>67.83558305211848</c:v>
                </c:pt>
                <c:pt idx="2">
                  <c:v>63.330667650918642</c:v>
                </c:pt>
                <c:pt idx="3">
                  <c:v>79.073455661792281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276-4AF7-9660-95CB33AA1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205264"/>
        <c:axId val="488208144"/>
      </c:barChart>
      <c:catAx>
        <c:axId val="488205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8208144"/>
        <c:crosses val="autoZero"/>
        <c:auto val="1"/>
        <c:lblAlgn val="ctr"/>
        <c:lblOffset val="100"/>
        <c:noMultiLvlLbl val="0"/>
      </c:catAx>
      <c:valAx>
        <c:axId val="48820814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0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0095144356955384E-2"/>
          <c:y val="0.87134608173978256"/>
          <c:w val="0.80869860017497819"/>
          <c:h val="0.105102075006581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RF vs Triplet Accuracy - Target</a:t>
            </a:r>
            <a:r>
              <a:rPr lang="en-US" baseline="0"/>
              <a:t> Length = 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CARLIN RF 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Sheet1!$W$57:$W$60</c:f>
              <c:numCache>
                <c:formatCode>General</c:formatCode>
                <c:ptCount val="4"/>
                <c:pt idx="0">
                  <c:v>9.1630580118522236</c:v>
                </c:pt>
                <c:pt idx="1">
                  <c:v>9.8908394583531773</c:v>
                </c:pt>
                <c:pt idx="2">
                  <c:v>7.7256719736828741</c:v>
                </c:pt>
                <c:pt idx="3">
                  <c:v>8.2743967255010276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BA-4320-A53F-9930A7D30307}"/>
            </c:ext>
          </c:extLst>
        </c:ser>
        <c:ser>
          <c:idx val="1"/>
          <c:order val="1"/>
          <c:tx>
            <c:v>CARLIN RF Dividing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Sheet1!$X$57:$X$60</c:f>
              <c:numCache>
                <c:formatCode>General</c:formatCode>
                <c:ptCount val="4"/>
                <c:pt idx="0">
                  <c:v>9.6825396825396801</c:v>
                </c:pt>
                <c:pt idx="1">
                  <c:v>10.634920634920634</c:v>
                </c:pt>
                <c:pt idx="2">
                  <c:v>9.1269841269841265</c:v>
                </c:pt>
                <c:pt idx="3">
                  <c:v>9.2063492063492021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BA-4320-A53F-9930A7D30307}"/>
            </c:ext>
          </c:extLst>
        </c:ser>
        <c:ser>
          <c:idx val="2"/>
          <c:order val="2"/>
          <c:tx>
            <c:v>Typewriter RF All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Sheet1!$Y$57:$Y$60</c:f>
              <c:numCache>
                <c:formatCode>General</c:formatCode>
                <c:ptCount val="4"/>
                <c:pt idx="0">
                  <c:v>32.022611563469226</c:v>
                </c:pt>
                <c:pt idx="1">
                  <c:v>24.23405673670721</c:v>
                </c:pt>
                <c:pt idx="2">
                  <c:v>20.420365076708489</c:v>
                </c:pt>
                <c:pt idx="3">
                  <c:v>24.259897081611278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BA-4320-A53F-9930A7D30307}"/>
            </c:ext>
          </c:extLst>
        </c:ser>
        <c:ser>
          <c:idx val="3"/>
          <c:order val="3"/>
          <c:tx>
            <c:v>Typewriter RF Dividing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Sheet1!$Z$57:$Z$60</c:f>
              <c:numCache>
                <c:formatCode>General</c:formatCode>
                <c:ptCount val="4"/>
                <c:pt idx="0">
                  <c:v>8.7301587301587258</c:v>
                </c:pt>
                <c:pt idx="1">
                  <c:v>20.079365079365083</c:v>
                </c:pt>
                <c:pt idx="2">
                  <c:v>19.444444444444439</c:v>
                </c:pt>
                <c:pt idx="3">
                  <c:v>24.761904761904752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BA-4320-A53F-9930A7D30307}"/>
            </c:ext>
          </c:extLst>
        </c:ser>
        <c:ser>
          <c:idx val="4"/>
          <c:order val="4"/>
          <c:tx>
            <c:v>CARLIN Triplet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Sheet1!$AA$57:$AA$60</c:f>
              <c:numCache>
                <c:formatCode>General</c:formatCode>
                <c:ptCount val="4"/>
                <c:pt idx="0">
                  <c:v>62.725411276715434</c:v>
                </c:pt>
                <c:pt idx="1">
                  <c:v>55.165125843644567</c:v>
                </c:pt>
                <c:pt idx="2">
                  <c:v>58.954173697037866</c:v>
                </c:pt>
                <c:pt idx="3">
                  <c:v>60.969136670416184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BA-4320-A53F-9930A7D30307}"/>
            </c:ext>
          </c:extLst>
        </c:ser>
        <c:ser>
          <c:idx val="5"/>
          <c:order val="5"/>
          <c:tx>
            <c:v>Typewriter Triplet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Sheet1!$AB$57:$AB$60</c:f>
              <c:numCache>
                <c:formatCode>General</c:formatCode>
                <c:ptCount val="4"/>
                <c:pt idx="0">
                  <c:v>47.95896606674166</c:v>
                </c:pt>
                <c:pt idx="1">
                  <c:v>62.132663104611915</c:v>
                </c:pt>
                <c:pt idx="2">
                  <c:v>70.173650168728926</c:v>
                </c:pt>
                <c:pt idx="3">
                  <c:v>66.362105127484071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2BA-4320-A53F-9930A7D30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205264"/>
        <c:axId val="488208144"/>
      </c:barChart>
      <c:catAx>
        <c:axId val="488205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8208144"/>
        <c:crosses val="autoZero"/>
        <c:auto val="1"/>
        <c:lblAlgn val="ctr"/>
        <c:lblOffset val="100"/>
        <c:noMultiLvlLbl val="0"/>
      </c:catAx>
      <c:valAx>
        <c:axId val="48820814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0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0095144356955384E-2"/>
          <c:y val="0.87134608173978256"/>
          <c:w val="0.80869860017497819"/>
          <c:h val="0.105102075006581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RF vs Triplet Accuracy - Target</a:t>
            </a:r>
            <a:r>
              <a:rPr lang="en-US" baseline="0"/>
              <a:t> Length =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CARLIN RF 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Sheet1!$B$64:$B$67</c:f>
              <c:numCache>
                <c:formatCode>General</c:formatCode>
                <c:ptCount val="4"/>
                <c:pt idx="0">
                  <c:v>10.248447204968899</c:v>
                </c:pt>
                <c:pt idx="1">
                  <c:v>18.855218855218901</c:v>
                </c:pt>
                <c:pt idx="2">
                  <c:v>11.0778443113772</c:v>
                </c:pt>
                <c:pt idx="3">
                  <c:v>12.6543209876543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F1-4161-B512-84F12D477E7F}"/>
            </c:ext>
          </c:extLst>
        </c:ser>
        <c:ser>
          <c:idx val="1"/>
          <c:order val="1"/>
          <c:tx>
            <c:v>CARLIN RF Dividing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Sheet1!$C$64:$C$67</c:f>
              <c:numCache>
                <c:formatCode>General</c:formatCode>
                <c:ptCount val="4"/>
                <c:pt idx="0">
                  <c:v>13.492063492063499</c:v>
                </c:pt>
                <c:pt idx="1">
                  <c:v>20.634920634920601</c:v>
                </c:pt>
                <c:pt idx="2">
                  <c:v>11.1111111111111</c:v>
                </c:pt>
                <c:pt idx="3">
                  <c:v>14.285714285714301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F1-4161-B512-84F12D477E7F}"/>
            </c:ext>
          </c:extLst>
        </c:ser>
        <c:ser>
          <c:idx val="2"/>
          <c:order val="2"/>
          <c:tx>
            <c:v>Typewriter RF All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Sheet1!$D$64:$D$67</c:f>
              <c:numCache>
                <c:formatCode>General</c:formatCode>
                <c:ptCount val="4"/>
                <c:pt idx="0">
                  <c:v>30.6748466257669</c:v>
                </c:pt>
                <c:pt idx="1">
                  <c:v>43.6305732484076</c:v>
                </c:pt>
                <c:pt idx="2">
                  <c:v>23.0283911671924</c:v>
                </c:pt>
                <c:pt idx="3">
                  <c:v>21.974522292993601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F1-4161-B512-84F12D477E7F}"/>
            </c:ext>
          </c:extLst>
        </c:ser>
        <c:ser>
          <c:idx val="3"/>
          <c:order val="3"/>
          <c:tx>
            <c:v>Typewriter RF Dividing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Sheet1!$E$64:$E$67</c:f>
              <c:numCache>
                <c:formatCode>General</c:formatCode>
                <c:ptCount val="4"/>
                <c:pt idx="0">
                  <c:v>12.698412698412699</c:v>
                </c:pt>
                <c:pt idx="1">
                  <c:v>30.158730158730201</c:v>
                </c:pt>
                <c:pt idx="2">
                  <c:v>27.7777777777778</c:v>
                </c:pt>
                <c:pt idx="3">
                  <c:v>20.634920634920601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F1-4161-B512-84F12D477E7F}"/>
            </c:ext>
          </c:extLst>
        </c:ser>
        <c:ser>
          <c:idx val="4"/>
          <c:order val="4"/>
          <c:tx>
            <c:v>CARLIN Triplet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Sheet1!$F$64:$F$67</c:f>
              <c:numCache>
                <c:formatCode>General</c:formatCode>
                <c:ptCount val="4"/>
                <c:pt idx="0">
                  <c:v>63.5255553993251</c:v>
                </c:pt>
                <c:pt idx="1">
                  <c:v>69.8892130671166</c:v>
                </c:pt>
                <c:pt idx="2">
                  <c:v>72.614946569178898</c:v>
                </c:pt>
                <c:pt idx="3">
                  <c:v>82.439304461942299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F1-4161-B512-84F12D477E7F}"/>
            </c:ext>
          </c:extLst>
        </c:ser>
        <c:ser>
          <c:idx val="5"/>
          <c:order val="5"/>
          <c:tx>
            <c:v>Typewriter Triplet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Sheet1!$G$64:$G$67</c:f>
              <c:numCache>
                <c:formatCode>General</c:formatCode>
                <c:ptCount val="4"/>
                <c:pt idx="0">
                  <c:v>66.006104705661798</c:v>
                </c:pt>
                <c:pt idx="1">
                  <c:v>94.375117172853393</c:v>
                </c:pt>
                <c:pt idx="2">
                  <c:v>94.927001312336003</c:v>
                </c:pt>
                <c:pt idx="3">
                  <c:v>99.029222909636303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2F1-4161-B512-84F12D477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205264"/>
        <c:axId val="488208144"/>
      </c:barChart>
      <c:catAx>
        <c:axId val="488205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8208144"/>
        <c:crosses val="autoZero"/>
        <c:auto val="1"/>
        <c:lblAlgn val="ctr"/>
        <c:lblOffset val="100"/>
        <c:noMultiLvlLbl val="0"/>
      </c:catAx>
      <c:valAx>
        <c:axId val="48820814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0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0095144356955384E-2"/>
          <c:y val="0.87134608173978256"/>
          <c:w val="0.80869860017497819"/>
          <c:h val="0.105102075006581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RF vs Triplet Accuracy - Target</a:t>
            </a:r>
            <a:r>
              <a:rPr lang="en-US" baseline="0"/>
              <a:t> Length = 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CARLIN RF 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Sheet1!$I$64:$I$67</c:f>
              <c:numCache>
                <c:formatCode>General</c:formatCode>
                <c:ptCount val="4"/>
                <c:pt idx="0">
                  <c:v>12.974683544303801</c:v>
                </c:pt>
                <c:pt idx="1">
                  <c:v>19.3037974683544</c:v>
                </c:pt>
                <c:pt idx="2">
                  <c:v>12.703583061889301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4C-4456-BD8A-2148E7BC1903}"/>
            </c:ext>
          </c:extLst>
        </c:ser>
        <c:ser>
          <c:idx val="1"/>
          <c:order val="1"/>
          <c:tx>
            <c:v>CARLIN RF Dividing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Sheet1!$J$64:$J$67</c:f>
              <c:numCache>
                <c:formatCode>General</c:formatCode>
                <c:ptCount val="4"/>
                <c:pt idx="0">
                  <c:v>17.460317460317501</c:v>
                </c:pt>
                <c:pt idx="1">
                  <c:v>17.460317460317501</c:v>
                </c:pt>
                <c:pt idx="2">
                  <c:v>15.8730158730159</c:v>
                </c:pt>
                <c:pt idx="3">
                  <c:v>14.285714285714301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4C-4456-BD8A-2148E7BC1903}"/>
            </c:ext>
          </c:extLst>
        </c:ser>
        <c:ser>
          <c:idx val="2"/>
          <c:order val="2"/>
          <c:tx>
            <c:v>Typewriter RF All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Sheet1!$K$64:$K$67</c:f>
              <c:numCache>
                <c:formatCode>General</c:formatCode>
                <c:ptCount val="4"/>
                <c:pt idx="0">
                  <c:v>30.868167202572401</c:v>
                </c:pt>
                <c:pt idx="1">
                  <c:v>43.670886075949397</c:v>
                </c:pt>
                <c:pt idx="2">
                  <c:v>39.739413680781801</c:v>
                </c:pt>
                <c:pt idx="3">
                  <c:v>28.658536585365901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4C-4456-BD8A-2148E7BC1903}"/>
            </c:ext>
          </c:extLst>
        </c:ser>
        <c:ser>
          <c:idx val="3"/>
          <c:order val="3"/>
          <c:tx>
            <c:v>Typewriter RF Dividing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Sheet1!$L$64:$L$67</c:f>
              <c:numCache>
                <c:formatCode>General</c:formatCode>
                <c:ptCount val="4"/>
                <c:pt idx="0">
                  <c:v>13.492063492063499</c:v>
                </c:pt>
                <c:pt idx="1">
                  <c:v>28.571428571428601</c:v>
                </c:pt>
                <c:pt idx="2">
                  <c:v>34.920634920634903</c:v>
                </c:pt>
                <c:pt idx="3">
                  <c:v>26.984126984126998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4C-4456-BD8A-2148E7BC1903}"/>
            </c:ext>
          </c:extLst>
        </c:ser>
        <c:ser>
          <c:idx val="4"/>
          <c:order val="4"/>
          <c:tx>
            <c:v>CARLIN Triplet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Sheet1!$M$64:$M$67</c:f>
              <c:numCache>
                <c:formatCode>General</c:formatCode>
                <c:ptCount val="4"/>
                <c:pt idx="0">
                  <c:v>88.067995406824195</c:v>
                </c:pt>
                <c:pt idx="1">
                  <c:v>78.651106111735999</c:v>
                </c:pt>
                <c:pt idx="2">
                  <c:v>89.838477221597302</c:v>
                </c:pt>
                <c:pt idx="3">
                  <c:v>79.512912448443899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4C-4456-BD8A-2148E7BC1903}"/>
            </c:ext>
          </c:extLst>
        </c:ser>
        <c:ser>
          <c:idx val="5"/>
          <c:order val="5"/>
          <c:tx>
            <c:v>Typewriter Triplet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Sheet1!$N$64:$N$67</c:f>
              <c:numCache>
                <c:formatCode>General</c:formatCode>
                <c:ptCount val="4"/>
                <c:pt idx="0">
                  <c:v>80.311738376452894</c:v>
                </c:pt>
                <c:pt idx="1">
                  <c:v>97.615239501312303</c:v>
                </c:pt>
                <c:pt idx="2">
                  <c:v>96.342156449193894</c:v>
                </c:pt>
                <c:pt idx="3">
                  <c:v>93.042861829771297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24C-4456-BD8A-2148E7BC1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205264"/>
        <c:axId val="488208144"/>
      </c:barChart>
      <c:catAx>
        <c:axId val="488205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8208144"/>
        <c:crosses val="autoZero"/>
        <c:auto val="1"/>
        <c:lblAlgn val="ctr"/>
        <c:lblOffset val="100"/>
        <c:noMultiLvlLbl val="0"/>
      </c:catAx>
      <c:valAx>
        <c:axId val="48820814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0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0095144356955384E-2"/>
          <c:y val="0.87134608173978256"/>
          <c:w val="0.80869860017497819"/>
          <c:h val="0.105102075006581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RF vs Triplet Accuracy - Target</a:t>
            </a:r>
            <a:r>
              <a:rPr lang="en-US" baseline="0"/>
              <a:t> Length = 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CARLIN RF 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Sheet1!$P$64:$P$67</c:f>
              <c:numCache>
                <c:formatCode>General</c:formatCode>
                <c:ptCount val="4"/>
                <c:pt idx="0">
                  <c:v>13.207547169811299</c:v>
                </c:pt>
                <c:pt idx="1">
                  <c:v>14.1065830721003</c:v>
                </c:pt>
                <c:pt idx="2">
                  <c:v>12.6582278481013</c:v>
                </c:pt>
                <c:pt idx="3">
                  <c:v>15.359477124183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5C-4963-86E3-FF7D00DEA19D}"/>
            </c:ext>
          </c:extLst>
        </c:ser>
        <c:ser>
          <c:idx val="1"/>
          <c:order val="1"/>
          <c:tx>
            <c:v>CARLIN RF Dividing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Sheet1!$Q$64:$Q$67</c:f>
              <c:numCache>
                <c:formatCode>General</c:formatCode>
                <c:ptCount val="4"/>
                <c:pt idx="0">
                  <c:v>14.285714285714301</c:v>
                </c:pt>
                <c:pt idx="1">
                  <c:v>19.047619047619001</c:v>
                </c:pt>
                <c:pt idx="2">
                  <c:v>14.285714285714301</c:v>
                </c:pt>
                <c:pt idx="3">
                  <c:v>13.492063492063499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5C-4963-86E3-FF7D00DEA19D}"/>
            </c:ext>
          </c:extLst>
        </c:ser>
        <c:ser>
          <c:idx val="2"/>
          <c:order val="2"/>
          <c:tx>
            <c:v>Typewriter RF All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Sheet1!$R$64:$R$67</c:f>
              <c:numCache>
                <c:formatCode>General</c:formatCode>
                <c:ptCount val="4"/>
                <c:pt idx="0">
                  <c:v>49.371069182389903</c:v>
                </c:pt>
                <c:pt idx="1">
                  <c:v>36.538461538461497</c:v>
                </c:pt>
                <c:pt idx="2">
                  <c:v>31.3479623824451</c:v>
                </c:pt>
                <c:pt idx="3">
                  <c:v>33.974358974358999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5C-4963-86E3-FF7D00DEA19D}"/>
            </c:ext>
          </c:extLst>
        </c:ser>
        <c:ser>
          <c:idx val="3"/>
          <c:order val="3"/>
          <c:tx>
            <c:v>Typewriter RF Dividing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Sheet1!$S$64:$S$67</c:f>
              <c:numCache>
                <c:formatCode>General</c:formatCode>
                <c:ptCount val="4"/>
                <c:pt idx="0">
                  <c:v>12.698412698412699</c:v>
                </c:pt>
                <c:pt idx="1">
                  <c:v>25.396825396825399</c:v>
                </c:pt>
                <c:pt idx="2">
                  <c:v>25.396825396825399</c:v>
                </c:pt>
                <c:pt idx="3">
                  <c:v>30.952380952380999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5C-4963-86E3-FF7D00DEA19D}"/>
            </c:ext>
          </c:extLst>
        </c:ser>
        <c:ser>
          <c:idx val="4"/>
          <c:order val="4"/>
          <c:tx>
            <c:v>CARLIN Triplet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Sheet1!$T$64:$T$67</c:f>
              <c:numCache>
                <c:formatCode>General</c:formatCode>
                <c:ptCount val="4"/>
                <c:pt idx="0">
                  <c:v>82.895985658042704</c:v>
                </c:pt>
                <c:pt idx="1">
                  <c:v>70.733443475815506</c:v>
                </c:pt>
                <c:pt idx="2">
                  <c:v>63.772204255718002</c:v>
                </c:pt>
                <c:pt idx="3">
                  <c:v>78.684500374953103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5C-4963-86E3-FF7D00DEA19D}"/>
            </c:ext>
          </c:extLst>
        </c:ser>
        <c:ser>
          <c:idx val="5"/>
          <c:order val="5"/>
          <c:tx>
            <c:v>Typewriter Triplet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Sheet1!$U$64:$U$67</c:f>
              <c:numCache>
                <c:formatCode>General</c:formatCode>
                <c:ptCount val="4"/>
                <c:pt idx="0">
                  <c:v>63.273926696662897</c:v>
                </c:pt>
                <c:pt idx="1">
                  <c:v>95.535421353580801</c:v>
                </c:pt>
                <c:pt idx="2">
                  <c:v>74.921787120359994</c:v>
                </c:pt>
                <c:pt idx="3">
                  <c:v>94.056407011623506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5C-4963-86E3-FF7D00DEA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205264"/>
        <c:axId val="488208144"/>
      </c:barChart>
      <c:catAx>
        <c:axId val="488205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8208144"/>
        <c:crosses val="autoZero"/>
        <c:auto val="1"/>
        <c:lblAlgn val="ctr"/>
        <c:lblOffset val="100"/>
        <c:noMultiLvlLbl val="0"/>
      </c:catAx>
      <c:valAx>
        <c:axId val="48820814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&amp;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0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0095144356955384E-2"/>
          <c:y val="0.87134608173978256"/>
          <c:w val="0.80869860017497819"/>
          <c:h val="0.105102075006581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RF vs Triplet Accuracy - Target</a:t>
            </a:r>
            <a:r>
              <a:rPr lang="en-US" baseline="0"/>
              <a:t> Length = 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CARLIN RF 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Sheet1!$W$64:$W$67</c:f>
              <c:numCache>
                <c:formatCode>General</c:formatCode>
                <c:ptCount val="4"/>
                <c:pt idx="0">
                  <c:v>13.109756097561</c:v>
                </c:pt>
                <c:pt idx="1">
                  <c:v>12.6543209876543</c:v>
                </c:pt>
                <c:pt idx="2">
                  <c:v>11.838006230529601</c:v>
                </c:pt>
                <c:pt idx="3">
                  <c:v>15.960912052117299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0B-44E9-B6AF-C8E5FEBCAA23}"/>
            </c:ext>
          </c:extLst>
        </c:ser>
        <c:ser>
          <c:idx val="1"/>
          <c:order val="1"/>
          <c:tx>
            <c:v>CARLIN RF Dividing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Sheet1!$X$64:$X$67</c:f>
              <c:numCache>
                <c:formatCode>General</c:formatCode>
                <c:ptCount val="4"/>
                <c:pt idx="0">
                  <c:v>13.492063492063499</c:v>
                </c:pt>
                <c:pt idx="1">
                  <c:v>15.8730158730159</c:v>
                </c:pt>
                <c:pt idx="2">
                  <c:v>15.0793650793651</c:v>
                </c:pt>
                <c:pt idx="3">
                  <c:v>12.698412698412699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0B-44E9-B6AF-C8E5FEBCAA23}"/>
            </c:ext>
          </c:extLst>
        </c:ser>
        <c:ser>
          <c:idx val="2"/>
          <c:order val="2"/>
          <c:tx>
            <c:v>Typewriter RF All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Sheet1!$Y$64:$Y$67</c:f>
              <c:numCache>
                <c:formatCode>General</c:formatCode>
                <c:ptCount val="4"/>
                <c:pt idx="0">
                  <c:v>44.859813084112098</c:v>
                </c:pt>
                <c:pt idx="1">
                  <c:v>32.063492063492099</c:v>
                </c:pt>
                <c:pt idx="2">
                  <c:v>28.307692307692299</c:v>
                </c:pt>
                <c:pt idx="3">
                  <c:v>39.285714285714299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0B-44E9-B6AF-C8E5FEBCAA23}"/>
            </c:ext>
          </c:extLst>
        </c:ser>
        <c:ser>
          <c:idx val="3"/>
          <c:order val="3"/>
          <c:tx>
            <c:v>Typewriter RF Dividing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Sheet1!$Z$64:$Z$67</c:f>
              <c:numCache>
                <c:formatCode>General</c:formatCode>
                <c:ptCount val="4"/>
                <c:pt idx="0">
                  <c:v>11.9047619047619</c:v>
                </c:pt>
                <c:pt idx="1">
                  <c:v>27.7777777777778</c:v>
                </c:pt>
                <c:pt idx="2">
                  <c:v>29.365079365079399</c:v>
                </c:pt>
                <c:pt idx="3">
                  <c:v>34.920634920634903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0B-44E9-B6AF-C8E5FEBCAA23}"/>
            </c:ext>
          </c:extLst>
        </c:ser>
        <c:ser>
          <c:idx val="4"/>
          <c:order val="4"/>
          <c:tx>
            <c:v>CARLIN Triplet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Sheet1!$AA$64:$AA$67</c:f>
              <c:numCache>
                <c:formatCode>General</c:formatCode>
                <c:ptCount val="4"/>
                <c:pt idx="0">
                  <c:v>87.487989782527194</c:v>
                </c:pt>
                <c:pt idx="1">
                  <c:v>68.033488001499805</c:v>
                </c:pt>
                <c:pt idx="2">
                  <c:v>72.850171072365995</c:v>
                </c:pt>
                <c:pt idx="3">
                  <c:v>85.724831271091105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0B-44E9-B6AF-C8E5FEBCAA23}"/>
            </c:ext>
          </c:extLst>
        </c:ser>
        <c:ser>
          <c:idx val="5"/>
          <c:order val="5"/>
          <c:tx>
            <c:v>Typewriter Triplet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Sheet1!$AB$64:$AB$67</c:f>
              <c:numCache>
                <c:formatCode>General</c:formatCode>
                <c:ptCount val="4"/>
                <c:pt idx="0">
                  <c:v>74.486489970003703</c:v>
                </c:pt>
                <c:pt idx="1">
                  <c:v>89.038772497187793</c:v>
                </c:pt>
                <c:pt idx="2">
                  <c:v>95.812828083989501</c:v>
                </c:pt>
                <c:pt idx="3">
                  <c:v>97.113446756655406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80B-44E9-B6AF-C8E5FEBCA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205264"/>
        <c:axId val="488208144"/>
      </c:barChart>
      <c:catAx>
        <c:axId val="488205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8208144"/>
        <c:crosses val="autoZero"/>
        <c:auto val="1"/>
        <c:lblAlgn val="ctr"/>
        <c:lblOffset val="100"/>
        <c:noMultiLvlLbl val="0"/>
      </c:catAx>
      <c:valAx>
        <c:axId val="48820814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0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0095144356955384E-2"/>
          <c:y val="0.87134608173978256"/>
          <c:w val="0.80869860017497819"/>
          <c:h val="0.105102075006581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69</xdr:row>
      <xdr:rowOff>19049</xdr:rowOff>
    </xdr:from>
    <xdr:to>
      <xdr:col>8</xdr:col>
      <xdr:colOff>128588</xdr:colOff>
      <xdr:row>86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D502BD-178D-4E6F-9A52-8C022A1194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69</xdr:row>
      <xdr:rowOff>0</xdr:rowOff>
    </xdr:from>
    <xdr:to>
      <xdr:col>17</xdr:col>
      <xdr:colOff>366713</xdr:colOff>
      <xdr:row>86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FE1A74-4CDD-49BA-8401-E26EABF82B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157163</xdr:colOff>
      <xdr:row>69</xdr:row>
      <xdr:rowOff>19050</xdr:rowOff>
    </xdr:from>
    <xdr:to>
      <xdr:col>26</xdr:col>
      <xdr:colOff>285751</xdr:colOff>
      <xdr:row>86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49AFD0-DB47-408E-B802-8A53AC4EDF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509588</xdr:colOff>
      <xdr:row>69</xdr:row>
      <xdr:rowOff>33338</xdr:rowOff>
    </xdr:from>
    <xdr:to>
      <xdr:col>34</xdr:col>
      <xdr:colOff>638176</xdr:colOff>
      <xdr:row>86</xdr:row>
      <xdr:rowOff>90488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E4C537-DB1F-42A8-81E6-4C7EC1995B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166688</xdr:colOff>
      <xdr:row>89</xdr:row>
      <xdr:rowOff>133349</xdr:rowOff>
    </xdr:from>
    <xdr:to>
      <xdr:col>8</xdr:col>
      <xdr:colOff>295276</xdr:colOff>
      <xdr:row>107</xdr:row>
      <xdr:rowOff>9524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EC531C9-253A-46F1-8790-E8B3EBC7B9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404813</xdr:colOff>
      <xdr:row>89</xdr:row>
      <xdr:rowOff>114300</xdr:rowOff>
    </xdr:from>
    <xdr:to>
      <xdr:col>17</xdr:col>
      <xdr:colOff>533401</xdr:colOff>
      <xdr:row>106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4DEDB2-ADE3-487D-9CB5-F407B16702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323851</xdr:colOff>
      <xdr:row>89</xdr:row>
      <xdr:rowOff>133350</xdr:rowOff>
    </xdr:from>
    <xdr:to>
      <xdr:col>26</xdr:col>
      <xdr:colOff>452439</xdr:colOff>
      <xdr:row>107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F9396CA-9899-4E44-9028-1AC17DC190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27</xdr:col>
      <xdr:colOff>28576</xdr:colOff>
      <xdr:row>89</xdr:row>
      <xdr:rowOff>147638</xdr:rowOff>
    </xdr:from>
    <xdr:to>
      <xdr:col>35</xdr:col>
      <xdr:colOff>157164</xdr:colOff>
      <xdr:row>107</xdr:row>
      <xdr:rowOff>23813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881901F-F9F2-42A5-9529-07CE31070C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0.10621</cdr:x>
      <cdr:y>0.7975</cdr:y>
    </cdr:from>
    <cdr:to>
      <cdr:x>0.37392</cdr:x>
      <cdr:y>0.88257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910180B-EE37-B18C-7E52-1A2B65ED5594}"/>
            </a:ext>
          </a:extLst>
        </cdr:cNvPr>
        <cdr:cNvSpPr txBox="1"/>
      </cdr:nvSpPr>
      <cdr:spPr>
        <a:xfrm xmlns:a="http://schemas.openxmlformats.org/drawingml/2006/main">
          <a:off x="563988" y="2499144"/>
          <a:ext cx="1421590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Target Number = 2</a:t>
          </a:r>
        </a:p>
      </cdr:txBody>
    </cdr:sp>
  </cdr:relSizeAnchor>
  <cdr:relSizeAnchor xmlns:cdr="http://schemas.openxmlformats.org/drawingml/2006/chartDrawing">
    <cdr:from>
      <cdr:x>0.31781</cdr:x>
      <cdr:y>0.79894</cdr:y>
    </cdr:from>
    <cdr:to>
      <cdr:x>0.58552</cdr:x>
      <cdr:y>0.88401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1687654" y="2503656"/>
          <a:ext cx="1421591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7</a:t>
          </a:r>
        </a:p>
      </cdr:txBody>
    </cdr:sp>
  </cdr:relSizeAnchor>
  <cdr:relSizeAnchor xmlns:cdr="http://schemas.openxmlformats.org/drawingml/2006/chartDrawing">
    <cdr:from>
      <cdr:x>0.73229</cdr:x>
      <cdr:y>0.79564</cdr:y>
    </cdr:from>
    <cdr:to>
      <cdr:x>1</cdr:x>
      <cdr:y>0.88071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3888607" y="2493328"/>
          <a:ext cx="1421581" cy="2665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17</a:t>
          </a:r>
        </a:p>
      </cdr:txBody>
    </cdr:sp>
  </cdr:relSizeAnchor>
  <cdr:relSizeAnchor xmlns:cdr="http://schemas.openxmlformats.org/drawingml/2006/chartDrawing">
    <cdr:from>
      <cdr:x>0.52078</cdr:x>
      <cdr:y>0.79737</cdr:y>
    </cdr:from>
    <cdr:to>
      <cdr:x>0.77818</cdr:x>
      <cdr:y>0.87894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9F5F6789-06A4-B105-BE0D-E25EF79E4292}"/>
            </a:ext>
          </a:extLst>
        </cdr:cNvPr>
        <cdr:cNvSpPr txBox="1"/>
      </cdr:nvSpPr>
      <cdr:spPr>
        <a:xfrm xmlns:a="http://schemas.openxmlformats.org/drawingml/2006/main">
          <a:off x="2765425" y="2498725"/>
          <a:ext cx="1366842" cy="2556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12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0.10083</cdr:x>
      <cdr:y>0.7975</cdr:y>
    </cdr:from>
    <cdr:to>
      <cdr:x>0.36854</cdr:x>
      <cdr:y>0.88257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910180B-EE37-B18C-7E52-1A2B65ED5594}"/>
            </a:ext>
          </a:extLst>
        </cdr:cNvPr>
        <cdr:cNvSpPr txBox="1"/>
      </cdr:nvSpPr>
      <cdr:spPr>
        <a:xfrm xmlns:a="http://schemas.openxmlformats.org/drawingml/2006/main">
          <a:off x="535413" y="2499143"/>
          <a:ext cx="1421590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Target Number = 2</a:t>
          </a:r>
        </a:p>
      </cdr:txBody>
    </cdr:sp>
  </cdr:relSizeAnchor>
  <cdr:relSizeAnchor xmlns:cdr="http://schemas.openxmlformats.org/drawingml/2006/chartDrawing">
    <cdr:from>
      <cdr:x>0.30705</cdr:x>
      <cdr:y>0.79894</cdr:y>
    </cdr:from>
    <cdr:to>
      <cdr:x>0.57476</cdr:x>
      <cdr:y>0.88401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1630504" y="2503656"/>
          <a:ext cx="1421591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7</a:t>
          </a:r>
        </a:p>
      </cdr:txBody>
    </cdr:sp>
  </cdr:relSizeAnchor>
  <cdr:relSizeAnchor xmlns:cdr="http://schemas.openxmlformats.org/drawingml/2006/chartDrawing">
    <cdr:from>
      <cdr:x>0.73229</cdr:x>
      <cdr:y>0.79564</cdr:y>
    </cdr:from>
    <cdr:to>
      <cdr:x>1</cdr:x>
      <cdr:y>0.88071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3888607" y="2493328"/>
          <a:ext cx="1421581" cy="2665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17</a:t>
          </a:r>
        </a:p>
      </cdr:txBody>
    </cdr:sp>
  </cdr:relSizeAnchor>
  <cdr:relSizeAnchor xmlns:cdr="http://schemas.openxmlformats.org/drawingml/2006/chartDrawing">
    <cdr:from>
      <cdr:x>0.51001</cdr:x>
      <cdr:y>0.79585</cdr:y>
    </cdr:from>
    <cdr:to>
      <cdr:x>0.76741</cdr:x>
      <cdr:y>0.87742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2708275" y="2493962"/>
          <a:ext cx="1366838" cy="255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12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0.10531</cdr:x>
      <cdr:y>0.79598</cdr:y>
    </cdr:from>
    <cdr:to>
      <cdr:x>0.37302</cdr:x>
      <cdr:y>0.88105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910180B-EE37-B18C-7E52-1A2B65ED5594}"/>
            </a:ext>
          </a:extLst>
        </cdr:cNvPr>
        <cdr:cNvSpPr txBox="1"/>
      </cdr:nvSpPr>
      <cdr:spPr>
        <a:xfrm xmlns:a="http://schemas.openxmlformats.org/drawingml/2006/main">
          <a:off x="559225" y="2494381"/>
          <a:ext cx="1421590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Target Number = 2</a:t>
          </a:r>
        </a:p>
      </cdr:txBody>
    </cdr:sp>
  </cdr:relSizeAnchor>
  <cdr:relSizeAnchor xmlns:cdr="http://schemas.openxmlformats.org/drawingml/2006/chartDrawing">
    <cdr:from>
      <cdr:x>0.30795</cdr:x>
      <cdr:y>0.7959</cdr:y>
    </cdr:from>
    <cdr:to>
      <cdr:x>0.57566</cdr:x>
      <cdr:y>0.88097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1635267" y="2494131"/>
          <a:ext cx="1421591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7</a:t>
          </a:r>
        </a:p>
      </cdr:txBody>
    </cdr:sp>
  </cdr:relSizeAnchor>
  <cdr:relSizeAnchor xmlns:cdr="http://schemas.openxmlformats.org/drawingml/2006/chartDrawing">
    <cdr:from>
      <cdr:x>0.73229</cdr:x>
      <cdr:y>0.79564</cdr:y>
    </cdr:from>
    <cdr:to>
      <cdr:x>1</cdr:x>
      <cdr:y>0.88071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3888607" y="2493328"/>
          <a:ext cx="1421581" cy="2665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17</a:t>
          </a:r>
        </a:p>
      </cdr:txBody>
    </cdr:sp>
  </cdr:relSizeAnchor>
  <cdr:relSizeAnchor xmlns:cdr="http://schemas.openxmlformats.org/drawingml/2006/chartDrawing">
    <cdr:from>
      <cdr:x>0.51001</cdr:x>
      <cdr:y>0.79585</cdr:y>
    </cdr:from>
    <cdr:to>
      <cdr:x>0.76741</cdr:x>
      <cdr:y>0.87742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2708275" y="2493962"/>
          <a:ext cx="1366838" cy="255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12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0.10531</cdr:x>
      <cdr:y>0.79598</cdr:y>
    </cdr:from>
    <cdr:to>
      <cdr:x>0.37302</cdr:x>
      <cdr:y>0.88105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910180B-EE37-B18C-7E52-1A2B65ED5594}"/>
            </a:ext>
          </a:extLst>
        </cdr:cNvPr>
        <cdr:cNvSpPr txBox="1"/>
      </cdr:nvSpPr>
      <cdr:spPr>
        <a:xfrm xmlns:a="http://schemas.openxmlformats.org/drawingml/2006/main">
          <a:off x="559225" y="2494381"/>
          <a:ext cx="1421590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Target Number = 2</a:t>
          </a:r>
        </a:p>
      </cdr:txBody>
    </cdr:sp>
  </cdr:relSizeAnchor>
  <cdr:relSizeAnchor xmlns:cdr="http://schemas.openxmlformats.org/drawingml/2006/chartDrawing">
    <cdr:from>
      <cdr:x>0.31243</cdr:x>
      <cdr:y>0.7959</cdr:y>
    </cdr:from>
    <cdr:to>
      <cdr:x>0.58014</cdr:x>
      <cdr:y>0.88097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1659079" y="2494130"/>
          <a:ext cx="1421591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7</a:t>
          </a:r>
        </a:p>
      </cdr:txBody>
    </cdr:sp>
  </cdr:relSizeAnchor>
  <cdr:relSizeAnchor xmlns:cdr="http://schemas.openxmlformats.org/drawingml/2006/chartDrawing">
    <cdr:from>
      <cdr:x>0.73229</cdr:x>
      <cdr:y>0.79564</cdr:y>
    </cdr:from>
    <cdr:to>
      <cdr:x>1</cdr:x>
      <cdr:y>0.88071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3888607" y="2493328"/>
          <a:ext cx="1421581" cy="2665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17</a:t>
          </a:r>
        </a:p>
      </cdr:txBody>
    </cdr:sp>
  </cdr:relSizeAnchor>
  <cdr:relSizeAnchor xmlns:cdr="http://schemas.openxmlformats.org/drawingml/2006/chartDrawing">
    <cdr:from>
      <cdr:x>0.51001</cdr:x>
      <cdr:y>0.79585</cdr:y>
    </cdr:from>
    <cdr:to>
      <cdr:x>0.76741</cdr:x>
      <cdr:y>0.87742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2708275" y="2493962"/>
          <a:ext cx="1366838" cy="255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12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0.09814</cdr:x>
      <cdr:y>0.7975</cdr:y>
    </cdr:from>
    <cdr:to>
      <cdr:x>0.36585</cdr:x>
      <cdr:y>0.88257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910180B-EE37-B18C-7E52-1A2B65ED5594}"/>
            </a:ext>
          </a:extLst>
        </cdr:cNvPr>
        <cdr:cNvSpPr txBox="1"/>
      </cdr:nvSpPr>
      <cdr:spPr>
        <a:xfrm xmlns:a="http://schemas.openxmlformats.org/drawingml/2006/main">
          <a:off x="521125" y="2499143"/>
          <a:ext cx="1421590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Target Number = 2</a:t>
          </a:r>
        </a:p>
      </cdr:txBody>
    </cdr:sp>
  </cdr:relSizeAnchor>
  <cdr:relSizeAnchor xmlns:cdr="http://schemas.openxmlformats.org/drawingml/2006/chartDrawing">
    <cdr:from>
      <cdr:x>0.30526</cdr:x>
      <cdr:y>0.79438</cdr:y>
    </cdr:from>
    <cdr:to>
      <cdr:x>0.57297</cdr:x>
      <cdr:y>0.87945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1620979" y="2489368"/>
          <a:ext cx="1421591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7</a:t>
          </a:r>
        </a:p>
      </cdr:txBody>
    </cdr:sp>
  </cdr:relSizeAnchor>
  <cdr:relSizeAnchor xmlns:cdr="http://schemas.openxmlformats.org/drawingml/2006/chartDrawing">
    <cdr:from>
      <cdr:x>0.73229</cdr:x>
      <cdr:y>0.79564</cdr:y>
    </cdr:from>
    <cdr:to>
      <cdr:x>1</cdr:x>
      <cdr:y>0.88071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3888607" y="2493328"/>
          <a:ext cx="1421581" cy="2665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17</a:t>
          </a:r>
        </a:p>
      </cdr:txBody>
    </cdr:sp>
  </cdr:relSizeAnchor>
  <cdr:relSizeAnchor xmlns:cdr="http://schemas.openxmlformats.org/drawingml/2006/chartDrawing">
    <cdr:from>
      <cdr:x>0.50374</cdr:x>
      <cdr:y>0.79281</cdr:y>
    </cdr:from>
    <cdr:to>
      <cdr:x>0.77145</cdr:x>
      <cdr:y>0.87788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359BC20-0C54-6E36-D725-69F105134497}"/>
            </a:ext>
          </a:extLst>
        </cdr:cNvPr>
        <cdr:cNvSpPr txBox="1"/>
      </cdr:nvSpPr>
      <cdr:spPr>
        <a:xfrm xmlns:a="http://schemas.openxmlformats.org/drawingml/2006/main">
          <a:off x="2674938" y="2484438"/>
          <a:ext cx="1421591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12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0.10172</cdr:x>
      <cdr:y>0.79446</cdr:y>
    </cdr:from>
    <cdr:to>
      <cdr:x>0.36943</cdr:x>
      <cdr:y>0.87953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910180B-EE37-B18C-7E52-1A2B65ED5594}"/>
            </a:ext>
          </a:extLst>
        </cdr:cNvPr>
        <cdr:cNvSpPr txBox="1"/>
      </cdr:nvSpPr>
      <cdr:spPr>
        <a:xfrm xmlns:a="http://schemas.openxmlformats.org/drawingml/2006/main">
          <a:off x="540175" y="2489618"/>
          <a:ext cx="1421590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Target Number = 2</a:t>
          </a:r>
        </a:p>
      </cdr:txBody>
    </cdr:sp>
  </cdr:relSizeAnchor>
  <cdr:relSizeAnchor xmlns:cdr="http://schemas.openxmlformats.org/drawingml/2006/chartDrawing">
    <cdr:from>
      <cdr:x>0.30885</cdr:x>
      <cdr:y>0.7959</cdr:y>
    </cdr:from>
    <cdr:to>
      <cdr:x>0.57656</cdr:x>
      <cdr:y>0.88097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1640029" y="2494131"/>
          <a:ext cx="1421591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7</a:t>
          </a:r>
        </a:p>
      </cdr:txBody>
    </cdr:sp>
  </cdr:relSizeAnchor>
  <cdr:relSizeAnchor xmlns:cdr="http://schemas.openxmlformats.org/drawingml/2006/chartDrawing">
    <cdr:from>
      <cdr:x>0.73229</cdr:x>
      <cdr:y>0.79564</cdr:y>
    </cdr:from>
    <cdr:to>
      <cdr:x>1</cdr:x>
      <cdr:y>0.88071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3888607" y="2493328"/>
          <a:ext cx="1421581" cy="2665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17</a:t>
          </a:r>
        </a:p>
      </cdr:txBody>
    </cdr:sp>
  </cdr:relSizeAnchor>
  <cdr:relSizeAnchor xmlns:cdr="http://schemas.openxmlformats.org/drawingml/2006/chartDrawing">
    <cdr:from>
      <cdr:x>0.51001</cdr:x>
      <cdr:y>0.79585</cdr:y>
    </cdr:from>
    <cdr:to>
      <cdr:x>0.76741</cdr:x>
      <cdr:y>0.87742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2708275" y="2493962"/>
          <a:ext cx="1366838" cy="255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12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0.10352</cdr:x>
      <cdr:y>0.79446</cdr:y>
    </cdr:from>
    <cdr:to>
      <cdr:x>0.37123</cdr:x>
      <cdr:y>0.87953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910180B-EE37-B18C-7E52-1A2B65ED5594}"/>
            </a:ext>
          </a:extLst>
        </cdr:cNvPr>
        <cdr:cNvSpPr txBox="1"/>
      </cdr:nvSpPr>
      <cdr:spPr>
        <a:xfrm xmlns:a="http://schemas.openxmlformats.org/drawingml/2006/main">
          <a:off x="549700" y="2489619"/>
          <a:ext cx="1421590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Target Number = 2</a:t>
          </a:r>
        </a:p>
      </cdr:txBody>
    </cdr:sp>
  </cdr:relSizeAnchor>
  <cdr:relSizeAnchor xmlns:cdr="http://schemas.openxmlformats.org/drawingml/2006/chartDrawing">
    <cdr:from>
      <cdr:x>0.31154</cdr:x>
      <cdr:y>0.7959</cdr:y>
    </cdr:from>
    <cdr:to>
      <cdr:x>0.57925</cdr:x>
      <cdr:y>0.88097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1654317" y="2494130"/>
          <a:ext cx="1421591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7</a:t>
          </a:r>
        </a:p>
      </cdr:txBody>
    </cdr:sp>
  </cdr:relSizeAnchor>
  <cdr:relSizeAnchor xmlns:cdr="http://schemas.openxmlformats.org/drawingml/2006/chartDrawing">
    <cdr:from>
      <cdr:x>0.73229</cdr:x>
      <cdr:y>0.79564</cdr:y>
    </cdr:from>
    <cdr:to>
      <cdr:x>1</cdr:x>
      <cdr:y>0.88071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3888607" y="2493328"/>
          <a:ext cx="1421581" cy="2665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17</a:t>
          </a:r>
        </a:p>
      </cdr:txBody>
    </cdr:sp>
  </cdr:relSizeAnchor>
  <cdr:relSizeAnchor xmlns:cdr="http://schemas.openxmlformats.org/drawingml/2006/chartDrawing">
    <cdr:from>
      <cdr:x>0.51001</cdr:x>
      <cdr:y>0.79585</cdr:y>
    </cdr:from>
    <cdr:to>
      <cdr:x>0.76741</cdr:x>
      <cdr:y>0.87742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2708275" y="2493962"/>
          <a:ext cx="1366838" cy="255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12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0.10172</cdr:x>
      <cdr:y>0.7975</cdr:y>
    </cdr:from>
    <cdr:to>
      <cdr:x>0.36943</cdr:x>
      <cdr:y>0.88257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910180B-EE37-B18C-7E52-1A2B65ED5594}"/>
            </a:ext>
          </a:extLst>
        </cdr:cNvPr>
        <cdr:cNvSpPr txBox="1"/>
      </cdr:nvSpPr>
      <cdr:spPr>
        <a:xfrm xmlns:a="http://schemas.openxmlformats.org/drawingml/2006/main">
          <a:off x="540175" y="2499144"/>
          <a:ext cx="1421590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Target Number = 2</a:t>
          </a:r>
        </a:p>
      </cdr:txBody>
    </cdr:sp>
  </cdr:relSizeAnchor>
  <cdr:relSizeAnchor xmlns:cdr="http://schemas.openxmlformats.org/drawingml/2006/chartDrawing">
    <cdr:from>
      <cdr:x>0.31243</cdr:x>
      <cdr:y>0.79742</cdr:y>
    </cdr:from>
    <cdr:to>
      <cdr:x>0.58014</cdr:x>
      <cdr:y>0.88249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1659079" y="2498893"/>
          <a:ext cx="1421591" cy="266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7</a:t>
          </a:r>
        </a:p>
      </cdr:txBody>
    </cdr:sp>
  </cdr:relSizeAnchor>
  <cdr:relSizeAnchor xmlns:cdr="http://schemas.openxmlformats.org/drawingml/2006/chartDrawing">
    <cdr:from>
      <cdr:x>0.73229</cdr:x>
      <cdr:y>0.79564</cdr:y>
    </cdr:from>
    <cdr:to>
      <cdr:x>1</cdr:x>
      <cdr:y>0.88071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3888607" y="2493328"/>
          <a:ext cx="1421581" cy="2665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17</a:t>
          </a:r>
        </a:p>
      </cdr:txBody>
    </cdr:sp>
  </cdr:relSizeAnchor>
  <cdr:relSizeAnchor xmlns:cdr="http://schemas.openxmlformats.org/drawingml/2006/chartDrawing">
    <cdr:from>
      <cdr:x>0.51001</cdr:x>
      <cdr:y>0.79585</cdr:y>
    </cdr:from>
    <cdr:to>
      <cdr:x>0.76741</cdr:x>
      <cdr:y>0.87742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F7523316-B859-D9BE-A795-D320FC6BC949}"/>
            </a:ext>
          </a:extLst>
        </cdr:cNvPr>
        <cdr:cNvSpPr txBox="1"/>
      </cdr:nvSpPr>
      <cdr:spPr>
        <a:xfrm xmlns:a="http://schemas.openxmlformats.org/drawingml/2006/main">
          <a:off x="2708275" y="2493962"/>
          <a:ext cx="1366838" cy="255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Target Number = 12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E5855-83C7-4998-A975-576B5A438DA3}">
  <dimension ref="A1:AB67"/>
  <sheetViews>
    <sheetView tabSelected="1" topLeftCell="R89" workbookViewId="0">
      <selection activeCell="Y89" sqref="Y89"/>
    </sheetView>
  </sheetViews>
  <sheetFormatPr defaultRowHeight="14.25" x14ac:dyDescent="0.45"/>
  <sheetData>
    <row r="1" spans="1:28" x14ac:dyDescent="0.45">
      <c r="A1" t="s">
        <v>0</v>
      </c>
      <c r="B1" t="s">
        <v>1</v>
      </c>
      <c r="I1" t="s">
        <v>8</v>
      </c>
      <c r="P1" t="s">
        <v>9</v>
      </c>
      <c r="W1" t="s">
        <v>10</v>
      </c>
    </row>
    <row r="2" spans="1:28" x14ac:dyDescent="0.45">
      <c r="B2" t="s">
        <v>2</v>
      </c>
      <c r="C2" t="s">
        <v>3</v>
      </c>
      <c r="D2" t="s">
        <v>4</v>
      </c>
      <c r="E2" t="s">
        <v>5</v>
      </c>
      <c r="F2" t="s">
        <v>7</v>
      </c>
      <c r="G2" t="s">
        <v>6</v>
      </c>
    </row>
    <row r="3" spans="1:28" x14ac:dyDescent="0.45">
      <c r="B3">
        <v>8.2317073170731696</v>
      </c>
      <c r="C3">
        <v>5.5555555555555598</v>
      </c>
      <c r="D3">
        <v>22.865853658536601</v>
      </c>
      <c r="E3">
        <v>8.7301587301587293</v>
      </c>
      <c r="F3">
        <v>63.5255553993251</v>
      </c>
      <c r="G3">
        <v>44.530957067866503</v>
      </c>
      <c r="I3">
        <v>11.897106109324801</v>
      </c>
      <c r="J3">
        <v>12.698412698412699</v>
      </c>
      <c r="K3">
        <v>30.868167202572401</v>
      </c>
      <c r="L3">
        <v>6.3492063492063497</v>
      </c>
      <c r="M3">
        <v>54.709176977877803</v>
      </c>
      <c r="N3">
        <v>24.1050923322085</v>
      </c>
      <c r="P3">
        <v>9.3457943925233593</v>
      </c>
      <c r="Q3">
        <v>9.5238095238095202</v>
      </c>
      <c r="R3">
        <v>32.398753894080997</v>
      </c>
      <c r="S3">
        <v>6.3492063492063497</v>
      </c>
      <c r="T3">
        <v>45.9206271091114</v>
      </c>
      <c r="U3">
        <v>38.603768278965099</v>
      </c>
      <c r="W3">
        <v>4.1269841269841301</v>
      </c>
      <c r="X3">
        <v>6.3492063492063497</v>
      </c>
      <c r="Y3">
        <v>31.428571428571399</v>
      </c>
      <c r="Z3">
        <v>11.9047619047619</v>
      </c>
      <c r="AA3">
        <v>87.487989782527194</v>
      </c>
      <c r="AB3">
        <v>47.108173978252701</v>
      </c>
    </row>
    <row r="4" spans="1:28" x14ac:dyDescent="0.45">
      <c r="B4">
        <v>9.1772151898734204</v>
      </c>
      <c r="C4">
        <v>11.1111111111111</v>
      </c>
      <c r="D4">
        <v>19.620253164556999</v>
      </c>
      <c r="E4">
        <v>5.5555555555555598</v>
      </c>
      <c r="F4">
        <v>61.7246086426697</v>
      </c>
      <c r="G4">
        <v>30.9025824896888</v>
      </c>
      <c r="I4">
        <v>7.7160493827160499</v>
      </c>
      <c r="J4">
        <v>13.492063492063499</v>
      </c>
      <c r="K4">
        <v>16.6666666666667</v>
      </c>
      <c r="L4">
        <v>5.5555555555555598</v>
      </c>
      <c r="M4">
        <v>57.730771934758202</v>
      </c>
      <c r="N4">
        <v>52.115262935883003</v>
      </c>
      <c r="P4">
        <v>3.3950617283950599</v>
      </c>
      <c r="Q4">
        <v>4.7619047619047601</v>
      </c>
      <c r="R4">
        <v>36.1111111111111</v>
      </c>
      <c r="S4">
        <v>6.3492063492063497</v>
      </c>
      <c r="T4">
        <v>82.895985658042704</v>
      </c>
      <c r="U4">
        <v>36.382756842894601</v>
      </c>
      <c r="W4">
        <v>11.842105263157899</v>
      </c>
      <c r="X4">
        <v>13.492063492063499</v>
      </c>
      <c r="Y4">
        <v>43.092105263157897</v>
      </c>
      <c r="Z4">
        <v>8.7301587301587293</v>
      </c>
      <c r="AA4">
        <v>61.063753749531301</v>
      </c>
      <c r="AB4">
        <v>30.9925126546682</v>
      </c>
    </row>
    <row r="5" spans="1:28" x14ac:dyDescent="0.45">
      <c r="B5">
        <v>9.9378881987577596</v>
      </c>
      <c r="C5">
        <v>7.9365079365079403</v>
      </c>
      <c r="D5">
        <v>17.7018633540373</v>
      </c>
      <c r="E5">
        <v>7.9365079365079403</v>
      </c>
      <c r="F5">
        <v>54.7756725721785</v>
      </c>
      <c r="G5">
        <v>66.006104705661798</v>
      </c>
      <c r="I5">
        <v>8.5173501577287105</v>
      </c>
      <c r="J5">
        <v>12.698412698412699</v>
      </c>
      <c r="K5">
        <v>24.290220820189301</v>
      </c>
      <c r="L5">
        <v>7.1428571428571397</v>
      </c>
      <c r="M5">
        <v>52.916725253093396</v>
      </c>
      <c r="N5">
        <v>28.2585770528684</v>
      </c>
      <c r="P5">
        <v>4.8048048048048004</v>
      </c>
      <c r="Q5">
        <v>7.1428571428571397</v>
      </c>
      <c r="R5">
        <v>33.6336336336336</v>
      </c>
      <c r="S5">
        <v>4.7619047619047601</v>
      </c>
      <c r="T5">
        <v>62.640900356205499</v>
      </c>
      <c r="U5">
        <v>24.470378702662199</v>
      </c>
      <c r="W5">
        <v>11.897106109324801</v>
      </c>
      <c r="X5">
        <v>11.1111111111111</v>
      </c>
      <c r="Y5">
        <v>23.472668810289399</v>
      </c>
      <c r="Z5">
        <v>10.3174603174603</v>
      </c>
      <c r="AA5">
        <v>42.1230549306337</v>
      </c>
      <c r="AB5">
        <v>53.885158886389199</v>
      </c>
    </row>
    <row r="6" spans="1:28" x14ac:dyDescent="0.45">
      <c r="B6">
        <v>8.5173501577287105</v>
      </c>
      <c r="C6">
        <v>11.9047619047619</v>
      </c>
      <c r="D6">
        <v>24.290220820189301</v>
      </c>
      <c r="E6">
        <v>8.7301587301587293</v>
      </c>
      <c r="F6">
        <v>61.616223753280799</v>
      </c>
      <c r="G6">
        <v>21.6494422572178</v>
      </c>
      <c r="I6">
        <v>8.8328075709779199</v>
      </c>
      <c r="J6">
        <v>11.9047619047619</v>
      </c>
      <c r="K6">
        <v>20.189274447949501</v>
      </c>
      <c r="L6">
        <v>10.3174603174603</v>
      </c>
      <c r="M6">
        <v>64.752355174353198</v>
      </c>
      <c r="N6">
        <v>60.851963817022899</v>
      </c>
      <c r="P6">
        <v>10.9717868338558</v>
      </c>
      <c r="Q6">
        <v>12.698412698412699</v>
      </c>
      <c r="R6">
        <v>35.109717868338599</v>
      </c>
      <c r="S6">
        <v>12.698412698412699</v>
      </c>
      <c r="T6">
        <v>54.301122515935504</v>
      </c>
      <c r="U6">
        <v>40.306582770903603</v>
      </c>
      <c r="W6">
        <v>4.0498442367601202</v>
      </c>
      <c r="X6">
        <v>7.1428571428571397</v>
      </c>
      <c r="Y6">
        <v>44.859813084112098</v>
      </c>
      <c r="Z6">
        <v>11.9047619047619</v>
      </c>
      <c r="AA6">
        <v>76.507428758905107</v>
      </c>
      <c r="AB6">
        <v>13.963781871016099</v>
      </c>
    </row>
    <row r="7" spans="1:28" x14ac:dyDescent="0.45">
      <c r="B7">
        <v>9.1772151898734204</v>
      </c>
      <c r="C7">
        <v>8.7301587301587293</v>
      </c>
      <c r="D7">
        <v>21.2025316455696</v>
      </c>
      <c r="E7">
        <v>5.5555555555555598</v>
      </c>
      <c r="F7">
        <v>50.564773153355802</v>
      </c>
      <c r="G7">
        <v>44.788151481064901</v>
      </c>
      <c r="I7">
        <v>9.00621118012422</v>
      </c>
      <c r="J7">
        <v>15.8730158730159</v>
      </c>
      <c r="K7">
        <v>28.881987577639801</v>
      </c>
      <c r="L7">
        <v>11.1111111111111</v>
      </c>
      <c r="M7">
        <v>46.781554649418801</v>
      </c>
      <c r="N7">
        <v>33.803782339707503</v>
      </c>
      <c r="P7">
        <v>7.0987654320987597</v>
      </c>
      <c r="Q7">
        <v>9.5238095238095202</v>
      </c>
      <c r="R7">
        <v>38.580246913580197</v>
      </c>
      <c r="S7">
        <v>12.698412698412699</v>
      </c>
      <c r="T7">
        <v>51.393185226846597</v>
      </c>
      <c r="U7">
        <v>38.203622984626897</v>
      </c>
      <c r="W7">
        <v>11.7117117117117</v>
      </c>
      <c r="X7">
        <v>8.7301587301587293</v>
      </c>
      <c r="Y7">
        <v>29.429429429429401</v>
      </c>
      <c r="Z7">
        <v>6.3492063492063497</v>
      </c>
      <c r="AA7">
        <v>46.160538526434202</v>
      </c>
      <c r="AB7">
        <v>66.211743063367095</v>
      </c>
    </row>
    <row r="8" spans="1:28" x14ac:dyDescent="0.45">
      <c r="B8">
        <v>4.3076923076923102</v>
      </c>
      <c r="C8">
        <v>5.5555555555555598</v>
      </c>
      <c r="D8">
        <v>20.923076923076898</v>
      </c>
      <c r="E8">
        <v>7.1428571428571397</v>
      </c>
      <c r="F8">
        <v>59.902277840270003</v>
      </c>
      <c r="G8">
        <v>40.912073490813597</v>
      </c>
      <c r="I8">
        <v>12.974683544303801</v>
      </c>
      <c r="J8">
        <v>12.698412698412699</v>
      </c>
      <c r="K8">
        <v>21.835443037974699</v>
      </c>
      <c r="L8">
        <v>8.7301587301587293</v>
      </c>
      <c r="M8">
        <v>39.679708005249303</v>
      </c>
      <c r="N8">
        <v>36.853498781402301</v>
      </c>
      <c r="P8">
        <v>9.2063492063492092</v>
      </c>
      <c r="Q8">
        <v>8.7301587301587293</v>
      </c>
      <c r="R8">
        <v>43.492063492063501</v>
      </c>
      <c r="S8">
        <v>5.5555555555555598</v>
      </c>
      <c r="T8">
        <v>77.168869516310494</v>
      </c>
      <c r="U8">
        <v>17.800021091113599</v>
      </c>
      <c r="W8">
        <v>10.3448275862069</v>
      </c>
      <c r="X8">
        <v>10.3174603174603</v>
      </c>
      <c r="Y8">
        <v>35.736677115987497</v>
      </c>
      <c r="Z8">
        <v>6.3492063492063497</v>
      </c>
      <c r="AA8">
        <v>52.617934476940398</v>
      </c>
      <c r="AB8">
        <v>35.553758905136903</v>
      </c>
    </row>
    <row r="9" spans="1:28" x14ac:dyDescent="0.45">
      <c r="B9">
        <v>10.248447204968899</v>
      </c>
      <c r="C9">
        <v>13.492063492063499</v>
      </c>
      <c r="D9">
        <v>27.950310559006201</v>
      </c>
      <c r="E9">
        <v>7.1428571428571397</v>
      </c>
      <c r="F9">
        <v>54.210020622422199</v>
      </c>
      <c r="G9">
        <v>29.100171072365999</v>
      </c>
      <c r="I9">
        <v>4.3613707165109004</v>
      </c>
      <c r="J9">
        <v>6.3492063492063497</v>
      </c>
      <c r="K9">
        <v>22.118380062305299</v>
      </c>
      <c r="L9">
        <v>13.492063492063499</v>
      </c>
      <c r="M9">
        <v>88.067995406824195</v>
      </c>
      <c r="N9">
        <v>38.453201162354702</v>
      </c>
      <c r="P9">
        <v>13.207547169811299</v>
      </c>
      <c r="Q9">
        <v>10.3174603174603</v>
      </c>
      <c r="R9">
        <v>31.761006289308199</v>
      </c>
      <c r="S9">
        <v>10.3174603174603</v>
      </c>
      <c r="T9">
        <v>50.909554274465698</v>
      </c>
      <c r="U9">
        <v>26.7063296775403</v>
      </c>
      <c r="W9">
        <v>13.109756097561</v>
      </c>
      <c r="X9">
        <v>11.9047619047619</v>
      </c>
      <c r="Y9">
        <v>30.792682926829301</v>
      </c>
      <c r="Z9">
        <v>3.9682539682539701</v>
      </c>
      <c r="AA9">
        <v>66.882264716910399</v>
      </c>
      <c r="AB9">
        <v>74.486489970003703</v>
      </c>
    </row>
    <row r="10" spans="1:28" x14ac:dyDescent="0.45">
      <c r="B10">
        <v>8.8957055214723901</v>
      </c>
      <c r="C10">
        <v>9.5238095238095202</v>
      </c>
      <c r="D10">
        <v>30.6748466257669</v>
      </c>
      <c r="E10">
        <v>12.698412698412699</v>
      </c>
      <c r="F10">
        <v>57.291373734533202</v>
      </c>
      <c r="G10">
        <v>26.236466535433099</v>
      </c>
      <c r="I10">
        <v>5.5374592833876202</v>
      </c>
      <c r="J10">
        <v>9.5238095238095202</v>
      </c>
      <c r="K10">
        <v>23.452768729641701</v>
      </c>
      <c r="L10">
        <v>11.1111111111111</v>
      </c>
      <c r="M10">
        <v>58.6420838020248</v>
      </c>
      <c r="N10">
        <v>29.1980104049494</v>
      </c>
      <c r="P10">
        <v>9.1194968553459095</v>
      </c>
      <c r="Q10">
        <v>12.698412698412699</v>
      </c>
      <c r="R10">
        <v>49.371069182389903</v>
      </c>
      <c r="S10">
        <v>11.9047619047619</v>
      </c>
      <c r="T10">
        <v>44.786393888264001</v>
      </c>
      <c r="U10">
        <v>19.707595144357001</v>
      </c>
      <c r="W10">
        <v>7.2847682119205297</v>
      </c>
      <c r="X10">
        <v>9.5238095238095202</v>
      </c>
      <c r="Y10">
        <v>30.794701986755001</v>
      </c>
      <c r="Z10">
        <v>9.5238095238095202</v>
      </c>
      <c r="AA10">
        <v>74.256245313085898</v>
      </c>
      <c r="AB10">
        <v>47.759362110986103</v>
      </c>
    </row>
    <row r="11" spans="1:28" x14ac:dyDescent="0.45">
      <c r="B11">
        <v>5.37974683544304</v>
      </c>
      <c r="C11">
        <v>8.7301587301587293</v>
      </c>
      <c r="D11">
        <v>23.4177215189873</v>
      </c>
      <c r="E11">
        <v>7.9365079365079403</v>
      </c>
      <c r="F11">
        <v>46.604330708661401</v>
      </c>
      <c r="G11">
        <v>35.4072928383952</v>
      </c>
      <c r="I11">
        <v>10.975609756097599</v>
      </c>
      <c r="J11">
        <v>10.3174603174603</v>
      </c>
      <c r="K11">
        <v>29.5731707317073</v>
      </c>
      <c r="L11">
        <v>12.698412698412699</v>
      </c>
      <c r="M11">
        <v>37.594910011248601</v>
      </c>
      <c r="N11">
        <v>30.7461567304087</v>
      </c>
      <c r="P11">
        <v>8.6261980830670897</v>
      </c>
      <c r="Q11">
        <v>8.7301587301587293</v>
      </c>
      <c r="R11">
        <v>42.492012779552702</v>
      </c>
      <c r="S11">
        <v>8.7301587301587293</v>
      </c>
      <c r="T11">
        <v>46.144427259092602</v>
      </c>
      <c r="U11">
        <v>19.056114079490101</v>
      </c>
      <c r="W11">
        <v>4.4585987261146496</v>
      </c>
      <c r="X11">
        <v>5.5555555555555598</v>
      </c>
      <c r="Y11">
        <v>21.656050955413999</v>
      </c>
      <c r="Z11">
        <v>8.7301587301587293</v>
      </c>
      <c r="AA11">
        <v>80.998664229471302</v>
      </c>
      <c r="AB11">
        <v>58.955814116985401</v>
      </c>
    </row>
    <row r="12" spans="1:28" x14ac:dyDescent="0.45">
      <c r="B12">
        <v>6.1919504643962897</v>
      </c>
      <c r="C12">
        <v>7.1428571428571397</v>
      </c>
      <c r="D12">
        <v>23.529411764705898</v>
      </c>
      <c r="E12">
        <v>11.9047619047619</v>
      </c>
      <c r="F12">
        <v>49.451923978252701</v>
      </c>
      <c r="G12">
        <v>31.3038995125609</v>
      </c>
      <c r="I12">
        <v>10.4430379746835</v>
      </c>
      <c r="J12">
        <v>17.460317460317501</v>
      </c>
      <c r="K12">
        <v>14.5569620253165</v>
      </c>
      <c r="L12">
        <v>8.7301587301587293</v>
      </c>
      <c r="M12">
        <v>47.8920603674541</v>
      </c>
      <c r="N12">
        <v>80.311738376452894</v>
      </c>
      <c r="P12">
        <v>9.0032154340836001</v>
      </c>
      <c r="Q12">
        <v>14.285714285714301</v>
      </c>
      <c r="R12">
        <v>18.971061093247599</v>
      </c>
      <c r="S12">
        <v>11.9047619047619</v>
      </c>
      <c r="T12">
        <v>64.118450037495293</v>
      </c>
      <c r="U12">
        <v>63.273926696662897</v>
      </c>
      <c r="W12">
        <v>12.8048780487805</v>
      </c>
      <c r="X12">
        <v>12.698412698412699</v>
      </c>
      <c r="Y12">
        <v>28.9634146341463</v>
      </c>
      <c r="Z12">
        <v>9.5238095238095202</v>
      </c>
      <c r="AA12">
        <v>39.156238282714703</v>
      </c>
      <c r="AB12">
        <v>50.672865110611198</v>
      </c>
    </row>
    <row r="13" spans="1:28" s="1" customFormat="1" x14ac:dyDescent="0.45">
      <c r="A13" s="1" t="s">
        <v>14</v>
      </c>
      <c r="B13" s="1">
        <f>AVERAGE(B3:B12)</f>
        <v>8.0064918387279409</v>
      </c>
      <c r="C13" s="1">
        <f t="shared" ref="C13:G13" si="0">AVERAGE(C3:C12)</f>
        <v>8.9682539682539666</v>
      </c>
      <c r="D13" s="1">
        <f t="shared" si="0"/>
        <v>23.2176090034433</v>
      </c>
      <c r="E13" s="1">
        <f t="shared" si="0"/>
        <v>8.3333333333333321</v>
      </c>
      <c r="F13" s="1">
        <f t="shared" si="0"/>
        <v>55.966676040494939</v>
      </c>
      <c r="G13" s="1">
        <f t="shared" si="0"/>
        <v>37.083714145106867</v>
      </c>
      <c r="I13" s="1">
        <f>AVERAGE(I3:I12)</f>
        <v>9.0261685675855112</v>
      </c>
      <c r="J13" s="1">
        <f t="shared" ref="J13" si="1">AVERAGE(J3:J12)</f>
        <v>12.301587301587308</v>
      </c>
      <c r="K13" s="1">
        <f t="shared" ref="K13" si="2">AVERAGE(K3:K12)</f>
        <v>23.243304130196318</v>
      </c>
      <c r="L13" s="1">
        <f t="shared" ref="L13" si="3">AVERAGE(L3:L12)</f>
        <v>9.5238095238095202</v>
      </c>
      <c r="M13" s="1">
        <f t="shared" ref="M13" si="4">AVERAGE(M3:M12)</f>
        <v>54.876734158230235</v>
      </c>
      <c r="N13" s="1">
        <f t="shared" ref="N13" si="5">AVERAGE(N3:N12)</f>
        <v>41.46972839332583</v>
      </c>
      <c r="P13" s="1">
        <f>AVERAGE(P3:P12)</f>
        <v>8.4779019940334894</v>
      </c>
      <c r="Q13" s="1">
        <f t="shared" ref="Q13" si="6">AVERAGE(Q3:Q12)</f>
        <v>9.8412698412698401</v>
      </c>
      <c r="R13" s="1">
        <f t="shared" ref="R13" si="7">AVERAGE(R3:R12)</f>
        <v>36.192067625730644</v>
      </c>
      <c r="S13" s="1">
        <f t="shared" ref="S13" si="8">AVERAGE(S3:S12)</f>
        <v>9.1269841269841248</v>
      </c>
      <c r="T13" s="1">
        <f t="shared" ref="T13" si="9">AVERAGE(T3:T12)</f>
        <v>58.027951584176982</v>
      </c>
      <c r="U13" s="1">
        <f t="shared" ref="U13" si="10">AVERAGE(U3:U12)</f>
        <v>32.451109626921628</v>
      </c>
      <c r="W13" s="1">
        <f>AVERAGE(W3:W12)</f>
        <v>9.1630580118522236</v>
      </c>
      <c r="X13" s="1">
        <f t="shared" ref="X13" si="11">AVERAGE(X3:X12)</f>
        <v>9.6825396825396801</v>
      </c>
      <c r="Y13" s="1">
        <f t="shared" ref="Y13" si="12">AVERAGE(Y3:Y12)</f>
        <v>32.022611563469226</v>
      </c>
      <c r="Z13" s="1">
        <f t="shared" ref="Z13" si="13">AVERAGE(Z3:Z12)</f>
        <v>8.7301587301587258</v>
      </c>
      <c r="AA13" s="1">
        <f t="shared" ref="AA13" si="14">AVERAGE(AA3:AA12)</f>
        <v>62.725411276715434</v>
      </c>
      <c r="AB13" s="1">
        <f t="shared" ref="AB13" si="15">AVERAGE(AB3:AB12)</f>
        <v>47.95896606674166</v>
      </c>
    </row>
    <row r="14" spans="1:28" s="1" customFormat="1" x14ac:dyDescent="0.45">
      <c r="A14" s="1" t="s">
        <v>15</v>
      </c>
      <c r="B14" s="1">
        <f>MAX(B3:B12)</f>
        <v>10.248447204968899</v>
      </c>
      <c r="C14" s="1">
        <f t="shared" ref="C14:G14" si="16">MAX(C3:C12)</f>
        <v>13.492063492063499</v>
      </c>
      <c r="D14" s="1">
        <f t="shared" si="16"/>
        <v>30.6748466257669</v>
      </c>
      <c r="E14" s="1">
        <f t="shared" si="16"/>
        <v>12.698412698412699</v>
      </c>
      <c r="F14" s="1">
        <f t="shared" si="16"/>
        <v>63.5255553993251</v>
      </c>
      <c r="G14" s="1">
        <f t="shared" si="16"/>
        <v>66.006104705661798</v>
      </c>
      <c r="I14" s="1">
        <f>MAX(I3:I12)</f>
        <v>12.974683544303801</v>
      </c>
      <c r="J14" s="1">
        <f t="shared" ref="J14:N14" si="17">MAX(J3:J12)</f>
        <v>17.460317460317501</v>
      </c>
      <c r="K14" s="1">
        <f t="shared" si="17"/>
        <v>30.868167202572401</v>
      </c>
      <c r="L14" s="1">
        <f t="shared" si="17"/>
        <v>13.492063492063499</v>
      </c>
      <c r="M14" s="1">
        <f t="shared" si="17"/>
        <v>88.067995406824195</v>
      </c>
      <c r="N14" s="1">
        <f t="shared" si="17"/>
        <v>80.311738376452894</v>
      </c>
      <c r="P14" s="1">
        <f>MAX(P3:P12)</f>
        <v>13.207547169811299</v>
      </c>
      <c r="Q14" s="1">
        <f t="shared" ref="Q14:U14" si="18">MAX(Q3:Q12)</f>
        <v>14.285714285714301</v>
      </c>
      <c r="R14" s="1">
        <f t="shared" si="18"/>
        <v>49.371069182389903</v>
      </c>
      <c r="S14" s="1">
        <f t="shared" si="18"/>
        <v>12.698412698412699</v>
      </c>
      <c r="T14" s="1">
        <f t="shared" si="18"/>
        <v>82.895985658042704</v>
      </c>
      <c r="U14" s="1">
        <f t="shared" si="18"/>
        <v>63.273926696662897</v>
      </c>
      <c r="W14" s="1">
        <f>MAX(W3:W12)</f>
        <v>13.109756097561</v>
      </c>
      <c r="X14" s="1">
        <f t="shared" ref="X14:AB14" si="19">MAX(X3:X12)</f>
        <v>13.492063492063499</v>
      </c>
      <c r="Y14" s="1">
        <f t="shared" si="19"/>
        <v>44.859813084112098</v>
      </c>
      <c r="Z14" s="1">
        <f t="shared" si="19"/>
        <v>11.9047619047619</v>
      </c>
      <c r="AA14" s="1">
        <f t="shared" si="19"/>
        <v>87.487989782527194</v>
      </c>
      <c r="AB14" s="1">
        <f t="shared" si="19"/>
        <v>74.486489970003703</v>
      </c>
    </row>
    <row r="16" spans="1:28" x14ac:dyDescent="0.45">
      <c r="A16" t="s">
        <v>11</v>
      </c>
      <c r="B16">
        <v>7.9113924050632898</v>
      </c>
      <c r="C16">
        <v>6.3492063492063497</v>
      </c>
      <c r="D16">
        <v>25.3164556962025</v>
      </c>
      <c r="E16">
        <v>24.603174603174601</v>
      </c>
      <c r="F16">
        <v>60.824135264341997</v>
      </c>
      <c r="G16">
        <v>36.308937945256801</v>
      </c>
      <c r="I16">
        <v>5.8282208588957003</v>
      </c>
      <c r="J16">
        <v>7.1428571428571397</v>
      </c>
      <c r="K16">
        <v>13.8036809815951</v>
      </c>
      <c r="L16">
        <v>15.0793650793651</v>
      </c>
      <c r="M16">
        <v>53.940815991751002</v>
      </c>
      <c r="N16">
        <v>94.876616985376799</v>
      </c>
      <c r="P16">
        <v>14.1065830721003</v>
      </c>
      <c r="Q16">
        <v>19.047619047619001</v>
      </c>
      <c r="R16">
        <v>27.8996865203762</v>
      </c>
      <c r="S16">
        <v>23.015873015873002</v>
      </c>
      <c r="T16">
        <v>46.649735189351297</v>
      </c>
      <c r="U16">
        <v>40.873406449193901</v>
      </c>
      <c r="W16">
        <v>12.540192926045</v>
      </c>
      <c r="X16">
        <v>13.492063492063499</v>
      </c>
      <c r="Y16">
        <v>22.508038585209</v>
      </c>
      <c r="Z16">
        <v>24.603174603174601</v>
      </c>
      <c r="AA16">
        <v>41.094570209973803</v>
      </c>
      <c r="AB16">
        <v>59.474596925384297</v>
      </c>
    </row>
    <row r="17" spans="1:28" x14ac:dyDescent="0.45">
      <c r="B17">
        <v>11.897106109324801</v>
      </c>
      <c r="C17">
        <v>13.492063492063499</v>
      </c>
      <c r="D17">
        <v>18.649517684887499</v>
      </c>
      <c r="E17">
        <v>17.460317460317501</v>
      </c>
      <c r="F17">
        <v>42.105479002624698</v>
      </c>
      <c r="G17">
        <v>94.375117172853393</v>
      </c>
      <c r="I17">
        <v>5.2117263843648196</v>
      </c>
      <c r="J17">
        <v>7.9365079365079403</v>
      </c>
      <c r="K17">
        <v>28.664495114006499</v>
      </c>
      <c r="L17">
        <v>23.015873015873002</v>
      </c>
      <c r="M17">
        <v>59.966429977502798</v>
      </c>
      <c r="N17">
        <v>58.959915166854103</v>
      </c>
      <c r="P17">
        <v>7.1651090342679096</v>
      </c>
      <c r="Q17">
        <v>9.5238095238095202</v>
      </c>
      <c r="R17">
        <v>25.233644859813101</v>
      </c>
      <c r="S17">
        <v>22.2222222222222</v>
      </c>
      <c r="T17">
        <v>61.097733877015401</v>
      </c>
      <c r="U17">
        <v>60.535011248593896</v>
      </c>
      <c r="W17">
        <v>7.8125</v>
      </c>
      <c r="X17">
        <v>9.5238095238095202</v>
      </c>
      <c r="Y17">
        <v>25.3125</v>
      </c>
      <c r="Z17">
        <v>16.6666666666667</v>
      </c>
      <c r="AA17">
        <v>60.276352174728203</v>
      </c>
      <c r="AB17">
        <v>60.489899700037498</v>
      </c>
    </row>
    <row r="18" spans="1:28" x14ac:dyDescent="0.45">
      <c r="B18">
        <v>18.855218855218901</v>
      </c>
      <c r="C18">
        <v>20.634920634920601</v>
      </c>
      <c r="D18">
        <v>25.589225589225599</v>
      </c>
      <c r="E18">
        <v>22.2222222222222</v>
      </c>
      <c r="F18">
        <v>50.863270997375302</v>
      </c>
      <c r="G18">
        <v>83.738458473940796</v>
      </c>
      <c r="I18">
        <v>5.9561128526645799</v>
      </c>
      <c r="J18">
        <v>5.5555555555555598</v>
      </c>
      <c r="K18">
        <v>20.376175548589298</v>
      </c>
      <c r="L18">
        <v>16.6666666666667</v>
      </c>
      <c r="M18">
        <v>49.528965129358802</v>
      </c>
      <c r="N18">
        <v>97.615239501312303</v>
      </c>
      <c r="P18">
        <v>9.9678456591639897</v>
      </c>
      <c r="Q18">
        <v>9.5238095238095202</v>
      </c>
      <c r="R18">
        <v>16.398713826366599</v>
      </c>
      <c r="S18">
        <v>16.6666666666667</v>
      </c>
      <c r="T18">
        <v>53.130272778402698</v>
      </c>
      <c r="U18">
        <v>92.177247375328093</v>
      </c>
      <c r="W18">
        <v>10.158730158730201</v>
      </c>
      <c r="X18">
        <v>7.9365079365079403</v>
      </c>
      <c r="Y18">
        <v>32.063492063492099</v>
      </c>
      <c r="Z18">
        <v>27.7777777777778</v>
      </c>
      <c r="AA18">
        <v>68.033488001499805</v>
      </c>
      <c r="AB18">
        <v>33.4461122047244</v>
      </c>
    </row>
    <row r="19" spans="1:28" x14ac:dyDescent="0.45">
      <c r="B19">
        <v>10.9375</v>
      </c>
      <c r="C19">
        <v>13.492063492063499</v>
      </c>
      <c r="D19">
        <v>10.3125</v>
      </c>
      <c r="E19">
        <v>10.3174603174603</v>
      </c>
      <c r="F19">
        <v>43.901445913010903</v>
      </c>
      <c r="G19">
        <v>91.853264435695493</v>
      </c>
      <c r="I19">
        <v>12.7725856697819</v>
      </c>
      <c r="J19">
        <v>10.3174603174603</v>
      </c>
      <c r="K19">
        <v>11.838006230529601</v>
      </c>
      <c r="L19">
        <v>15.0793650793651</v>
      </c>
      <c r="M19">
        <v>47.7376851331084</v>
      </c>
      <c r="N19">
        <v>82.039452099737503</v>
      </c>
      <c r="P19">
        <v>4.4585987261146496</v>
      </c>
      <c r="Q19">
        <v>7.9365079365079403</v>
      </c>
      <c r="R19">
        <v>34.0764331210191</v>
      </c>
      <c r="S19">
        <v>18.253968253968299</v>
      </c>
      <c r="T19">
        <v>65.740708192725904</v>
      </c>
      <c r="U19">
        <v>60.198139295088097</v>
      </c>
      <c r="W19">
        <v>9.32475884244373</v>
      </c>
      <c r="X19">
        <v>11.9047619047619</v>
      </c>
      <c r="Y19">
        <v>27.3311897106109</v>
      </c>
      <c r="Z19">
        <v>22.2222222222222</v>
      </c>
      <c r="AA19">
        <v>55.081493719535104</v>
      </c>
      <c r="AB19">
        <v>89.038772497187793</v>
      </c>
    </row>
    <row r="20" spans="1:28" x14ac:dyDescent="0.45">
      <c r="B20">
        <v>10.932475884244401</v>
      </c>
      <c r="C20">
        <v>13.492063492063499</v>
      </c>
      <c r="D20">
        <v>14.7909967845659</v>
      </c>
      <c r="E20">
        <v>15.8730158730159</v>
      </c>
      <c r="F20">
        <v>69.8892130671166</v>
      </c>
      <c r="G20">
        <v>71.504733783277103</v>
      </c>
      <c r="I20">
        <v>7.8688524590163897</v>
      </c>
      <c r="J20">
        <v>7.9365079365079403</v>
      </c>
      <c r="K20">
        <v>21.311475409836099</v>
      </c>
      <c r="L20">
        <v>26.1904761904762</v>
      </c>
      <c r="M20">
        <v>74.297255811773496</v>
      </c>
      <c r="N20">
        <v>41.813132733408302</v>
      </c>
      <c r="P20">
        <v>8.6538461538461497</v>
      </c>
      <c r="Q20">
        <v>9.5238095238095202</v>
      </c>
      <c r="R20">
        <v>36.538461538461497</v>
      </c>
      <c r="S20">
        <v>25.396825396825399</v>
      </c>
      <c r="T20">
        <v>46.217074428196497</v>
      </c>
      <c r="U20">
        <v>53.5805094675666</v>
      </c>
      <c r="W20">
        <v>12.6543209876543</v>
      </c>
      <c r="X20">
        <v>10.3174603174603</v>
      </c>
      <c r="Y20">
        <v>30.2469135802469</v>
      </c>
      <c r="Z20">
        <v>20.634920634920601</v>
      </c>
      <c r="AA20">
        <v>63.339543494563202</v>
      </c>
      <c r="AB20">
        <v>55.666772122234697</v>
      </c>
    </row>
    <row r="21" spans="1:28" x14ac:dyDescent="0.45">
      <c r="B21">
        <v>9.7402597402597397</v>
      </c>
      <c r="C21">
        <v>13.492063492063499</v>
      </c>
      <c r="D21">
        <v>30.519480519480499</v>
      </c>
      <c r="E21">
        <v>22.2222222222222</v>
      </c>
      <c r="F21">
        <v>58.401879452568402</v>
      </c>
      <c r="G21">
        <v>41.840375421822301</v>
      </c>
      <c r="I21">
        <v>6.7307692307692299</v>
      </c>
      <c r="J21">
        <v>7.9365079365079403</v>
      </c>
      <c r="K21">
        <v>16.025641025641001</v>
      </c>
      <c r="L21">
        <v>19.047619047619001</v>
      </c>
      <c r="M21">
        <v>44.100932695913002</v>
      </c>
      <c r="N21">
        <v>93.144216347956501</v>
      </c>
      <c r="P21">
        <v>12.2257053291536</v>
      </c>
      <c r="Q21">
        <v>11.9047619047619</v>
      </c>
      <c r="R21">
        <v>12.8526645768025</v>
      </c>
      <c r="S21">
        <v>21.428571428571399</v>
      </c>
      <c r="T21">
        <v>50.0237275028122</v>
      </c>
      <c r="U21">
        <v>95.535421353580801</v>
      </c>
      <c r="W21">
        <v>12</v>
      </c>
      <c r="X21">
        <v>15.8730158730159</v>
      </c>
      <c r="Y21">
        <v>17.230769230769202</v>
      </c>
      <c r="Z21">
        <v>15.0793650793651</v>
      </c>
      <c r="AA21">
        <v>46.336004874390703</v>
      </c>
      <c r="AB21">
        <v>70.961344675665501</v>
      </c>
    </row>
    <row r="22" spans="1:28" x14ac:dyDescent="0.45">
      <c r="B22">
        <v>13.2258064516129</v>
      </c>
      <c r="C22">
        <v>18.253968253968299</v>
      </c>
      <c r="D22">
        <v>15.1612903225806</v>
      </c>
      <c r="E22">
        <v>22.2222222222222</v>
      </c>
      <c r="F22">
        <v>40.618848425196902</v>
      </c>
      <c r="G22">
        <v>93.555785995500599</v>
      </c>
      <c r="I22">
        <v>8.6816720257234703</v>
      </c>
      <c r="J22">
        <v>7.9365079365079403</v>
      </c>
      <c r="K22">
        <v>15.434083601286201</v>
      </c>
      <c r="L22">
        <v>16.6666666666667</v>
      </c>
      <c r="M22">
        <v>41.891052680914903</v>
      </c>
      <c r="N22">
        <v>61.5804860329959</v>
      </c>
      <c r="P22">
        <v>12.3028391167192</v>
      </c>
      <c r="Q22">
        <v>17.460317460317501</v>
      </c>
      <c r="R22">
        <v>19.873817034700298</v>
      </c>
      <c r="S22">
        <v>16.6666666666667</v>
      </c>
      <c r="T22">
        <v>47.1693967941507</v>
      </c>
      <c r="U22">
        <v>53.862310179977499</v>
      </c>
      <c r="W22">
        <v>8.5714285714285694</v>
      </c>
      <c r="X22">
        <v>9.5238095238095202</v>
      </c>
      <c r="Y22">
        <v>24.761904761904798</v>
      </c>
      <c r="Z22">
        <v>21.428571428571399</v>
      </c>
      <c r="AA22">
        <v>65.715223097112897</v>
      </c>
      <c r="AB22">
        <v>37.949943757030397</v>
      </c>
    </row>
    <row r="23" spans="1:28" x14ac:dyDescent="0.45">
      <c r="B23">
        <v>18.064516129032299</v>
      </c>
      <c r="C23">
        <v>16.6666666666667</v>
      </c>
      <c r="D23">
        <v>30.322580645161299</v>
      </c>
      <c r="E23">
        <v>29.365079365079399</v>
      </c>
      <c r="F23">
        <v>39.421048931383602</v>
      </c>
      <c r="G23">
        <v>36.943721878515198</v>
      </c>
      <c r="I23">
        <v>6.9620253164557004</v>
      </c>
      <c r="J23">
        <v>10.3174603174603</v>
      </c>
      <c r="K23">
        <v>43.670886075949397</v>
      </c>
      <c r="L23">
        <v>28.571428571428601</v>
      </c>
      <c r="M23">
        <v>71.997445631795998</v>
      </c>
      <c r="N23">
        <v>42.931254686914102</v>
      </c>
      <c r="P23">
        <v>5.2307692307692299</v>
      </c>
      <c r="Q23">
        <v>6.3492063492063497</v>
      </c>
      <c r="R23">
        <v>22.153846153846199</v>
      </c>
      <c r="S23">
        <v>19.841269841269799</v>
      </c>
      <c r="T23">
        <v>70.733443475815506</v>
      </c>
      <c r="U23">
        <v>72.269579583801999</v>
      </c>
      <c r="W23">
        <v>9.375</v>
      </c>
      <c r="X23">
        <v>10.3174603174603</v>
      </c>
      <c r="Y23">
        <v>27.5</v>
      </c>
      <c r="Z23">
        <v>22.2222222222222</v>
      </c>
      <c r="AA23">
        <v>48.0388193663292</v>
      </c>
      <c r="AB23">
        <v>57.131432789651299</v>
      </c>
    </row>
    <row r="24" spans="1:28" x14ac:dyDescent="0.45">
      <c r="B24">
        <v>13.207547169811299</v>
      </c>
      <c r="C24">
        <v>10.3174603174603</v>
      </c>
      <c r="D24">
        <v>17.295597484276701</v>
      </c>
      <c r="E24">
        <v>22.2222222222222</v>
      </c>
      <c r="F24">
        <v>39.674728158980102</v>
      </c>
      <c r="G24">
        <v>50.696885545556803</v>
      </c>
      <c r="I24">
        <v>5.0156739811912203</v>
      </c>
      <c r="J24">
        <v>7.9365079365079403</v>
      </c>
      <c r="K24">
        <v>16.927899686520401</v>
      </c>
      <c r="L24">
        <v>12.698412698412699</v>
      </c>
      <c r="M24">
        <v>78.651106111735999</v>
      </c>
      <c r="N24">
        <v>61.055258717660301</v>
      </c>
      <c r="P24">
        <v>12.1794871794872</v>
      </c>
      <c r="Q24">
        <v>13.492063492063499</v>
      </c>
      <c r="R24">
        <v>16.346153846153801</v>
      </c>
      <c r="S24">
        <v>19.841269841269799</v>
      </c>
      <c r="T24">
        <v>47.578622984626897</v>
      </c>
      <c r="U24">
        <v>93.605584458192695</v>
      </c>
      <c r="W24">
        <v>7.5757575757575797</v>
      </c>
      <c r="X24">
        <v>6.3492063492063497</v>
      </c>
      <c r="Y24">
        <v>16.060606060606101</v>
      </c>
      <c r="Z24">
        <v>15.8730158730159</v>
      </c>
      <c r="AA24">
        <v>55.478709692538402</v>
      </c>
      <c r="AB24">
        <v>78.416174540682405</v>
      </c>
    </row>
    <row r="25" spans="1:28" x14ac:dyDescent="0.45">
      <c r="B25">
        <v>7.9617834394904499</v>
      </c>
      <c r="C25">
        <v>10.3174603174603</v>
      </c>
      <c r="D25">
        <v>43.6305732484076</v>
      </c>
      <c r="E25">
        <v>30.158730158730201</v>
      </c>
      <c r="F25">
        <v>49.516369047619101</v>
      </c>
      <c r="G25">
        <v>31.271969910011201</v>
      </c>
      <c r="I25">
        <v>19.3037974683544</v>
      </c>
      <c r="J25">
        <v>17.460317460317501</v>
      </c>
      <c r="K25">
        <v>31.329113924050599</v>
      </c>
      <c r="L25">
        <v>28.571428571428601</v>
      </c>
      <c r="M25">
        <v>55.4611337645294</v>
      </c>
      <c r="N25">
        <v>60.542627484064496</v>
      </c>
      <c r="P25">
        <v>6.64556962025316</v>
      </c>
      <c r="Q25">
        <v>7.9365079365079403</v>
      </c>
      <c r="R25">
        <v>22.151898734177198</v>
      </c>
      <c r="S25">
        <v>21.428571428571399</v>
      </c>
      <c r="T25">
        <v>69.586907105361803</v>
      </c>
      <c r="U25">
        <v>55.718621109861303</v>
      </c>
      <c r="W25">
        <v>8.8957055214723901</v>
      </c>
      <c r="X25">
        <v>11.1111111111111</v>
      </c>
      <c r="Y25">
        <v>19.3251533742331</v>
      </c>
      <c r="Z25">
        <v>14.285714285714301</v>
      </c>
      <c r="AA25">
        <v>48.257053805774298</v>
      </c>
      <c r="AB25">
        <v>78.751581833520802</v>
      </c>
    </row>
    <row r="26" spans="1:28" s="1" customFormat="1" x14ac:dyDescent="0.45">
      <c r="A26" s="1" t="s">
        <v>14</v>
      </c>
      <c r="B26" s="1">
        <f>AVERAGE(B16:B25)</f>
        <v>12.273360618405807</v>
      </c>
      <c r="C26" s="1">
        <f t="shared" ref="C26" si="20">AVERAGE(C16:C25)</f>
        <v>13.650793650793654</v>
      </c>
      <c r="D26" s="1">
        <f t="shared" ref="D26" si="21">AVERAGE(D16:D25)</f>
        <v>23.158821797478822</v>
      </c>
      <c r="E26" s="1">
        <f t="shared" ref="E26" si="22">AVERAGE(E16:E25)</f>
        <v>21.666666666666671</v>
      </c>
      <c r="F26" s="1">
        <f t="shared" ref="F26" si="23">AVERAGE(F16:F25)</f>
        <v>49.521641826021764</v>
      </c>
      <c r="G26" s="1">
        <f t="shared" ref="G26" si="24">AVERAGE(G16:G25)</f>
        <v>63.208925056242983</v>
      </c>
      <c r="I26" s="1">
        <f>AVERAGE(I16:I25)</f>
        <v>8.4331436247217422</v>
      </c>
      <c r="J26" s="1">
        <f t="shared" ref="J26" si="25">AVERAGE(J16:J25)</f>
        <v>9.0476190476190492</v>
      </c>
      <c r="K26" s="1">
        <f t="shared" ref="K26" si="26">AVERAGE(K16:K25)</f>
        <v>21.938145759800417</v>
      </c>
      <c r="L26" s="1">
        <f t="shared" ref="L26" si="27">AVERAGE(L16:L25)</f>
        <v>20.158730158730172</v>
      </c>
      <c r="M26" s="1">
        <f t="shared" ref="M26" si="28">AVERAGE(M16:M25)</f>
        <v>57.757282292838383</v>
      </c>
      <c r="N26" s="1">
        <f t="shared" ref="N26" si="29">AVERAGE(N16:N25)</f>
        <v>69.455819975628032</v>
      </c>
      <c r="P26" s="1">
        <f>AVERAGE(P16:P25)</f>
        <v>9.2936353121875364</v>
      </c>
      <c r="Q26" s="1">
        <f t="shared" ref="Q26" si="30">AVERAGE(Q16:Q25)</f>
        <v>11.269841269841269</v>
      </c>
      <c r="R26" s="1">
        <f t="shared" ref="R26" si="31">AVERAGE(R16:R25)</f>
        <v>23.352532021171648</v>
      </c>
      <c r="S26" s="1">
        <f t="shared" ref="S26" si="32">AVERAGE(S16:S25)</f>
        <v>20.476190476190467</v>
      </c>
      <c r="T26" s="1">
        <f t="shared" ref="T26" si="33">AVERAGE(T16:T25)</f>
        <v>55.792762232845895</v>
      </c>
      <c r="U26" s="1">
        <f t="shared" ref="U26" si="34">AVERAGE(U16:U25)</f>
        <v>67.83558305211848</v>
      </c>
      <c r="W26" s="1">
        <f>AVERAGE(W16:W25)</f>
        <v>9.8908394583531773</v>
      </c>
      <c r="X26" s="1">
        <f t="shared" ref="X26" si="35">AVERAGE(X16:X25)</f>
        <v>10.634920634920634</v>
      </c>
      <c r="Y26" s="1">
        <f t="shared" ref="Y26" si="36">AVERAGE(Y16:Y25)</f>
        <v>24.23405673670721</v>
      </c>
      <c r="Z26" s="1">
        <f t="shared" ref="Z26" si="37">AVERAGE(Z16:Z25)</f>
        <v>20.079365079365083</v>
      </c>
      <c r="AA26" s="1">
        <f t="shared" ref="AA26" si="38">AVERAGE(AA16:AA25)</f>
        <v>55.165125843644567</v>
      </c>
      <c r="AB26" s="1">
        <f t="shared" ref="AB26" si="39">AVERAGE(AB16:AB25)</f>
        <v>62.132663104611915</v>
      </c>
    </row>
    <row r="27" spans="1:28" s="1" customFormat="1" x14ac:dyDescent="0.45">
      <c r="A27" s="1" t="s">
        <v>15</v>
      </c>
      <c r="B27" s="1">
        <f>MAX(B16:B25)</f>
        <v>18.855218855218901</v>
      </c>
      <c r="C27" s="1">
        <f t="shared" ref="C27:G27" si="40">MAX(C16:C25)</f>
        <v>20.634920634920601</v>
      </c>
      <c r="D27" s="1">
        <f t="shared" si="40"/>
        <v>43.6305732484076</v>
      </c>
      <c r="E27" s="1">
        <f t="shared" si="40"/>
        <v>30.158730158730201</v>
      </c>
      <c r="F27" s="1">
        <f t="shared" si="40"/>
        <v>69.8892130671166</v>
      </c>
      <c r="G27" s="1">
        <f t="shared" si="40"/>
        <v>94.375117172853393</v>
      </c>
      <c r="I27" s="1">
        <f>MAX(I16:I25)</f>
        <v>19.3037974683544</v>
      </c>
      <c r="J27" s="1">
        <f t="shared" ref="J27:N27" si="41">MAX(J16:J25)</f>
        <v>17.460317460317501</v>
      </c>
      <c r="K27" s="1">
        <f t="shared" si="41"/>
        <v>43.670886075949397</v>
      </c>
      <c r="L27" s="1">
        <f t="shared" si="41"/>
        <v>28.571428571428601</v>
      </c>
      <c r="M27" s="1">
        <f t="shared" si="41"/>
        <v>78.651106111735999</v>
      </c>
      <c r="N27" s="1">
        <f t="shared" si="41"/>
        <v>97.615239501312303</v>
      </c>
      <c r="P27" s="1">
        <f>MAX(P16:P25)</f>
        <v>14.1065830721003</v>
      </c>
      <c r="Q27" s="1">
        <f t="shared" ref="Q27:U27" si="42">MAX(Q16:Q25)</f>
        <v>19.047619047619001</v>
      </c>
      <c r="R27" s="1">
        <f t="shared" si="42"/>
        <v>36.538461538461497</v>
      </c>
      <c r="S27" s="1">
        <f t="shared" si="42"/>
        <v>25.396825396825399</v>
      </c>
      <c r="T27" s="1">
        <f t="shared" si="42"/>
        <v>70.733443475815506</v>
      </c>
      <c r="U27" s="1">
        <f t="shared" si="42"/>
        <v>95.535421353580801</v>
      </c>
      <c r="W27" s="1">
        <f>MAX(W16:W25)</f>
        <v>12.6543209876543</v>
      </c>
      <c r="X27" s="1">
        <f t="shared" ref="X27:AB27" si="43">MAX(X16:X25)</f>
        <v>15.8730158730159</v>
      </c>
      <c r="Y27" s="1">
        <f t="shared" si="43"/>
        <v>32.063492063492099</v>
      </c>
      <c r="Z27" s="1">
        <f t="shared" si="43"/>
        <v>27.7777777777778</v>
      </c>
      <c r="AA27" s="1">
        <f t="shared" si="43"/>
        <v>68.033488001499805</v>
      </c>
      <c r="AB27" s="1">
        <f t="shared" si="43"/>
        <v>89.038772497187793</v>
      </c>
    </row>
    <row r="28" spans="1:28" s="1" customFormat="1" x14ac:dyDescent="0.45"/>
    <row r="29" spans="1:28" x14ac:dyDescent="0.45">
      <c r="A29" t="s">
        <v>12</v>
      </c>
      <c r="B29">
        <v>5.8252427184466002</v>
      </c>
      <c r="C29">
        <v>7.1428571428571397</v>
      </c>
      <c r="D29">
        <v>20.3883495145631</v>
      </c>
      <c r="E29">
        <v>27.7777777777778</v>
      </c>
      <c r="F29">
        <v>55.223858736407898</v>
      </c>
      <c r="G29">
        <v>94.927001312336003</v>
      </c>
      <c r="I29">
        <v>6.7961165048543704</v>
      </c>
      <c r="J29">
        <v>11.1111111111111</v>
      </c>
      <c r="K29">
        <v>22.653721682847902</v>
      </c>
      <c r="L29">
        <v>28.571428571428601</v>
      </c>
      <c r="M29">
        <v>64.190218410198696</v>
      </c>
      <c r="N29">
        <v>93.309430071241096</v>
      </c>
      <c r="P29">
        <v>7.6190476190476204</v>
      </c>
      <c r="Q29">
        <v>9.5238095238095202</v>
      </c>
      <c r="R29">
        <v>16.1904761904762</v>
      </c>
      <c r="S29">
        <v>15.8730158730159</v>
      </c>
      <c r="T29">
        <v>48.441893982002199</v>
      </c>
      <c r="U29">
        <v>73.470894263217104</v>
      </c>
      <c r="W29">
        <v>1.5527950310559</v>
      </c>
      <c r="X29">
        <v>3.17460317460317</v>
      </c>
      <c r="Y29">
        <v>19.875776397515502</v>
      </c>
      <c r="Z29">
        <v>14.285714285714301</v>
      </c>
      <c r="AA29">
        <v>68.257874015748001</v>
      </c>
      <c r="AB29">
        <v>76.558691882264696</v>
      </c>
    </row>
    <row r="30" spans="1:28" x14ac:dyDescent="0.45">
      <c r="B30">
        <v>4.6439628482972104</v>
      </c>
      <c r="C30">
        <v>7.1428571428571397</v>
      </c>
      <c r="D30">
        <v>17.956656346749199</v>
      </c>
      <c r="E30">
        <v>17.460317460317501</v>
      </c>
      <c r="F30">
        <v>53.058211473565798</v>
      </c>
      <c r="G30">
        <v>69.770282620922401</v>
      </c>
      <c r="I30">
        <v>12.703583061889301</v>
      </c>
      <c r="J30">
        <v>10.3174603174603</v>
      </c>
      <c r="K30">
        <v>39.739413680781801</v>
      </c>
      <c r="L30">
        <v>34.920634920634903</v>
      </c>
      <c r="M30">
        <v>43.6922923697038</v>
      </c>
      <c r="N30">
        <v>33.517880577427803</v>
      </c>
      <c r="P30">
        <v>8.0495356037151709</v>
      </c>
      <c r="Q30">
        <v>8.7301587301587293</v>
      </c>
      <c r="R30">
        <v>25.696594427244602</v>
      </c>
      <c r="S30">
        <v>23.015873015873002</v>
      </c>
      <c r="T30">
        <v>54.716207349081401</v>
      </c>
      <c r="U30">
        <v>45.081962410948599</v>
      </c>
      <c r="W30">
        <v>6.1290322580645196</v>
      </c>
      <c r="X30">
        <v>7.1428571428571397</v>
      </c>
      <c r="Y30">
        <v>22.903225806451601</v>
      </c>
      <c r="Z30">
        <v>29.365079365079399</v>
      </c>
      <c r="AA30">
        <v>72.850171072365995</v>
      </c>
      <c r="AB30">
        <v>77.281355455568104</v>
      </c>
    </row>
    <row r="31" spans="1:28" x14ac:dyDescent="0.45">
      <c r="B31">
        <v>10.2803738317757</v>
      </c>
      <c r="C31">
        <v>11.1111111111111</v>
      </c>
      <c r="D31">
        <v>17.757009345794401</v>
      </c>
      <c r="E31">
        <v>17.460317460317501</v>
      </c>
      <c r="F31">
        <v>53.943745313085898</v>
      </c>
      <c r="G31">
        <v>69.054942350956097</v>
      </c>
      <c r="I31">
        <v>8.1761006289308202</v>
      </c>
      <c r="J31">
        <v>11.1111111111111</v>
      </c>
      <c r="K31">
        <v>27.044025157232699</v>
      </c>
      <c r="L31">
        <v>19.047619047619001</v>
      </c>
      <c r="M31">
        <v>65.748617360330002</v>
      </c>
      <c r="N31">
        <v>60.781074240719903</v>
      </c>
      <c r="P31">
        <v>8.5889570552147205</v>
      </c>
      <c r="Q31">
        <v>6.3492063492063497</v>
      </c>
      <c r="R31">
        <v>23.006134969325199</v>
      </c>
      <c r="S31">
        <v>17.460317460317501</v>
      </c>
      <c r="T31">
        <v>63.772204255718002</v>
      </c>
      <c r="U31">
        <v>67.599655511810994</v>
      </c>
      <c r="W31">
        <v>11.838006230529601</v>
      </c>
      <c r="X31">
        <v>11.9047619047619</v>
      </c>
      <c r="Y31">
        <v>22.429906542056099</v>
      </c>
      <c r="Z31">
        <v>15.8730158730159</v>
      </c>
      <c r="AA31">
        <v>51.150051556055502</v>
      </c>
      <c r="AB31">
        <v>62.269169478815201</v>
      </c>
    </row>
    <row r="32" spans="1:28" x14ac:dyDescent="0.45">
      <c r="B32">
        <v>6.6037735849056602</v>
      </c>
      <c r="C32">
        <v>9.5238095238095202</v>
      </c>
      <c r="D32">
        <v>19.182389937106901</v>
      </c>
      <c r="E32">
        <v>21.428571428571399</v>
      </c>
      <c r="F32">
        <v>63.270704443194603</v>
      </c>
      <c r="G32">
        <v>65.443675009373806</v>
      </c>
      <c r="I32">
        <v>11.5987460815047</v>
      </c>
      <c r="J32">
        <v>11.1111111111111</v>
      </c>
      <c r="K32">
        <v>25.3918495297806</v>
      </c>
      <c r="L32">
        <v>27.7777777777778</v>
      </c>
      <c r="M32">
        <v>64.368614079490101</v>
      </c>
      <c r="N32">
        <v>73.281660104986898</v>
      </c>
      <c r="P32">
        <v>10.5919003115265</v>
      </c>
      <c r="Q32">
        <v>11.1111111111111</v>
      </c>
      <c r="R32">
        <v>17.133956386292802</v>
      </c>
      <c r="S32">
        <v>16.6666666666667</v>
      </c>
      <c r="T32">
        <v>47.719230408698898</v>
      </c>
      <c r="U32">
        <v>74.921787120359994</v>
      </c>
      <c r="W32">
        <v>11.3924050632911</v>
      </c>
      <c r="X32">
        <v>11.9047619047619</v>
      </c>
      <c r="Y32">
        <v>25.632911392405099</v>
      </c>
      <c r="Z32">
        <v>19.841269841269799</v>
      </c>
      <c r="AA32">
        <v>48.331165635545602</v>
      </c>
      <c r="AB32">
        <v>58.997117547806504</v>
      </c>
    </row>
    <row r="33" spans="1:28" x14ac:dyDescent="0.45">
      <c r="B33">
        <v>5.5555555555555598</v>
      </c>
      <c r="C33">
        <v>10.3174603174603</v>
      </c>
      <c r="D33">
        <v>16.049382716049401</v>
      </c>
      <c r="E33">
        <v>15.8730158730159</v>
      </c>
      <c r="F33">
        <v>68.567210348706396</v>
      </c>
      <c r="G33">
        <v>76.874472722159695</v>
      </c>
      <c r="I33">
        <v>7.98722044728434</v>
      </c>
      <c r="J33">
        <v>13.492063492063499</v>
      </c>
      <c r="K33">
        <v>22.364217252396202</v>
      </c>
      <c r="L33">
        <v>17.460317460317501</v>
      </c>
      <c r="M33">
        <v>62.993590644919401</v>
      </c>
      <c r="N33">
        <v>85.478768278965106</v>
      </c>
      <c r="P33">
        <v>7.8549848942598199</v>
      </c>
      <c r="Q33">
        <v>11.9047619047619</v>
      </c>
      <c r="R33">
        <v>21.450151057401801</v>
      </c>
      <c r="S33">
        <v>19.047619047619001</v>
      </c>
      <c r="T33">
        <v>59.606416385451801</v>
      </c>
      <c r="U33">
        <v>57.807520153730799</v>
      </c>
      <c r="W33">
        <v>7.6470588235294104</v>
      </c>
      <c r="X33">
        <v>8.7301587301587293</v>
      </c>
      <c r="Y33">
        <v>23.823529411764699</v>
      </c>
      <c r="Z33">
        <v>21.428571428571399</v>
      </c>
      <c r="AA33">
        <v>55.2821522309711</v>
      </c>
      <c r="AB33">
        <v>45.442854799400102</v>
      </c>
    </row>
    <row r="34" spans="1:28" x14ac:dyDescent="0.45">
      <c r="B34">
        <v>11.0778443113772</v>
      </c>
      <c r="C34">
        <v>10.3174603174603</v>
      </c>
      <c r="D34">
        <v>11.377245508982</v>
      </c>
      <c r="E34">
        <v>10.3174603174603</v>
      </c>
      <c r="F34">
        <v>72.614946569178898</v>
      </c>
      <c r="G34">
        <v>72.588582677165306</v>
      </c>
      <c r="I34">
        <v>10.6109324758842</v>
      </c>
      <c r="J34">
        <v>12.698412698412699</v>
      </c>
      <c r="K34">
        <v>18.0064308681672</v>
      </c>
      <c r="L34">
        <v>19.841269841269799</v>
      </c>
      <c r="M34">
        <v>48.4925712410949</v>
      </c>
      <c r="N34">
        <v>84.873570491188602</v>
      </c>
      <c r="P34">
        <v>8.6687306501547994</v>
      </c>
      <c r="Q34">
        <v>14.285714285714301</v>
      </c>
      <c r="R34">
        <v>21.052631578947398</v>
      </c>
      <c r="S34">
        <v>18.253968253968299</v>
      </c>
      <c r="T34">
        <v>40.573443944506899</v>
      </c>
      <c r="U34">
        <v>66.088125703037093</v>
      </c>
      <c r="W34">
        <v>4</v>
      </c>
      <c r="X34">
        <v>5.5555555555555598</v>
      </c>
      <c r="Y34">
        <v>28.307692307692299</v>
      </c>
      <c r="Z34">
        <v>21.428571428571399</v>
      </c>
      <c r="AA34">
        <v>70.974233689538806</v>
      </c>
      <c r="AB34">
        <v>31.746519966254201</v>
      </c>
    </row>
    <row r="35" spans="1:28" x14ac:dyDescent="0.45">
      <c r="B35">
        <v>6.64556962025316</v>
      </c>
      <c r="C35">
        <v>7.9365079365079403</v>
      </c>
      <c r="D35">
        <v>15.506329113924</v>
      </c>
      <c r="E35">
        <v>21.428571428571399</v>
      </c>
      <c r="F35">
        <v>62.633284120734899</v>
      </c>
      <c r="G35">
        <v>62.383120078740198</v>
      </c>
      <c r="I35">
        <v>7.7881619937694699</v>
      </c>
      <c r="J35">
        <v>10.3174603174603</v>
      </c>
      <c r="K35">
        <v>19.6261682242991</v>
      </c>
      <c r="L35">
        <v>20.634920634920601</v>
      </c>
      <c r="M35">
        <v>57.019239782527201</v>
      </c>
      <c r="N35">
        <v>74.989747375328093</v>
      </c>
      <c r="P35">
        <v>8.6419753086419693</v>
      </c>
      <c r="Q35">
        <v>9.5238095238095202</v>
      </c>
      <c r="R35">
        <v>25.925925925925899</v>
      </c>
      <c r="S35">
        <v>21.428571428571399</v>
      </c>
      <c r="T35">
        <v>60.330251687289099</v>
      </c>
      <c r="U35">
        <v>71.617805586801694</v>
      </c>
      <c r="W35">
        <v>9.3457943925233593</v>
      </c>
      <c r="X35">
        <v>7.1428571428571397</v>
      </c>
      <c r="Y35">
        <v>19.6261682242991</v>
      </c>
      <c r="Z35">
        <v>22.2222222222222</v>
      </c>
      <c r="AA35">
        <v>62.023985283089601</v>
      </c>
      <c r="AB35">
        <v>66.918002437195398</v>
      </c>
    </row>
    <row r="36" spans="1:28" x14ac:dyDescent="0.45">
      <c r="B36">
        <v>7.0063694267515899</v>
      </c>
      <c r="C36">
        <v>7.1428571428571397</v>
      </c>
      <c r="D36">
        <v>9.5541401273885391</v>
      </c>
      <c r="E36">
        <v>11.9047619047619</v>
      </c>
      <c r="F36">
        <v>62.79937664042</v>
      </c>
      <c r="G36">
        <v>81.957138170228703</v>
      </c>
      <c r="I36">
        <v>6.6037735849056602</v>
      </c>
      <c r="J36">
        <v>10.3174603174603</v>
      </c>
      <c r="K36">
        <v>26.415094339622598</v>
      </c>
      <c r="L36">
        <v>28.571428571428601</v>
      </c>
      <c r="M36">
        <v>77.016544806899105</v>
      </c>
      <c r="N36">
        <v>92.971386389201399</v>
      </c>
      <c r="P36">
        <v>8.7774294670846391</v>
      </c>
      <c r="Q36">
        <v>12.698412698412699</v>
      </c>
      <c r="R36">
        <v>31.3479623824451</v>
      </c>
      <c r="S36">
        <v>24.603174603174601</v>
      </c>
      <c r="T36">
        <v>53.096878515185601</v>
      </c>
      <c r="U36">
        <v>51.198092425946797</v>
      </c>
      <c r="W36">
        <v>10.185185185185199</v>
      </c>
      <c r="X36">
        <v>11.9047619047619</v>
      </c>
      <c r="Y36">
        <v>16.049382716049401</v>
      </c>
      <c r="Z36">
        <v>14.285714285714301</v>
      </c>
      <c r="AA36">
        <v>40.082196756655399</v>
      </c>
      <c r="AB36">
        <v>95.729635358080202</v>
      </c>
    </row>
    <row r="37" spans="1:28" x14ac:dyDescent="0.45">
      <c r="B37">
        <v>10.0946372239748</v>
      </c>
      <c r="C37">
        <v>7.1428571428571397</v>
      </c>
      <c r="D37">
        <v>23.0283911671924</v>
      </c>
      <c r="E37">
        <v>21.428571428571399</v>
      </c>
      <c r="F37">
        <v>46.163174915635501</v>
      </c>
      <c r="G37">
        <v>52.254112767154098</v>
      </c>
      <c r="I37">
        <v>12.084592145015099</v>
      </c>
      <c r="J37">
        <v>8.7301587301587293</v>
      </c>
      <c r="K37">
        <v>14.5015105740181</v>
      </c>
      <c r="L37">
        <v>19.841269841269799</v>
      </c>
      <c r="M37">
        <v>44.087457817772801</v>
      </c>
      <c r="N37">
        <v>77.626722440944903</v>
      </c>
      <c r="P37">
        <v>10.3125</v>
      </c>
      <c r="Q37">
        <v>11.1111111111111</v>
      </c>
      <c r="R37">
        <v>26.875</v>
      </c>
      <c r="S37">
        <v>25.396825396825399</v>
      </c>
      <c r="T37">
        <v>52.863411604799403</v>
      </c>
      <c r="U37">
        <v>59.409565991751002</v>
      </c>
      <c r="W37">
        <v>5.64263322884013</v>
      </c>
      <c r="X37">
        <v>8.7301587301587293</v>
      </c>
      <c r="Y37">
        <v>12.539184952978101</v>
      </c>
      <c r="Z37">
        <v>15.8730158730159</v>
      </c>
      <c r="AA37">
        <v>57.961016591676</v>
      </c>
      <c r="AB37">
        <v>90.980326677915301</v>
      </c>
    </row>
    <row r="38" spans="1:28" x14ac:dyDescent="0.45">
      <c r="B38">
        <v>8.9171974522292992</v>
      </c>
      <c r="C38">
        <v>9.5238095238095202</v>
      </c>
      <c r="D38">
        <v>13.694267515923601</v>
      </c>
      <c r="E38">
        <v>20.634920634920601</v>
      </c>
      <c r="F38">
        <v>67.349198537682796</v>
      </c>
      <c r="G38">
        <v>79.772157386576694</v>
      </c>
      <c r="I38">
        <v>10.158730158730201</v>
      </c>
      <c r="J38">
        <v>15.8730158730159</v>
      </c>
      <c r="K38">
        <v>22.8571428571429</v>
      </c>
      <c r="L38">
        <v>19.841269841269799</v>
      </c>
      <c r="M38">
        <v>89.838477221597302</v>
      </c>
      <c r="N38">
        <v>96.342156449193894</v>
      </c>
      <c r="P38">
        <v>12.6582278481013</v>
      </c>
      <c r="Q38">
        <v>10.3174603174603</v>
      </c>
      <c r="R38">
        <v>20.569620253164601</v>
      </c>
      <c r="S38">
        <v>19.047619047619001</v>
      </c>
      <c r="T38">
        <v>43.764060742407203</v>
      </c>
      <c r="U38">
        <v>66.111267341582305</v>
      </c>
      <c r="W38">
        <v>9.5238095238095202</v>
      </c>
      <c r="X38">
        <v>15.0793650793651</v>
      </c>
      <c r="Y38">
        <v>13.015873015873</v>
      </c>
      <c r="Z38">
        <v>19.841269841269799</v>
      </c>
      <c r="AA38">
        <v>62.6288901387327</v>
      </c>
      <c r="AB38">
        <v>95.812828083989501</v>
      </c>
    </row>
    <row r="39" spans="1:28" s="1" customFormat="1" x14ac:dyDescent="0.45">
      <c r="A39" s="1" t="s">
        <v>14</v>
      </c>
      <c r="B39" s="1">
        <f>AVERAGE(B29:B38)</f>
        <v>7.6650526573566777</v>
      </c>
      <c r="C39" s="1">
        <f t="shared" ref="C39" si="44">AVERAGE(C29:C38)</f>
        <v>8.730158730158724</v>
      </c>
      <c r="D39" s="1">
        <f t="shared" ref="D39" si="45">AVERAGE(D29:D38)</f>
        <v>16.449416129367357</v>
      </c>
      <c r="E39" s="1">
        <f t="shared" ref="E39" si="46">AVERAGE(E29:E38)</f>
        <v>18.571428571428569</v>
      </c>
      <c r="F39" s="1">
        <f t="shared" ref="F39" si="47">AVERAGE(F29:F38)</f>
        <v>60.562371109861274</v>
      </c>
      <c r="G39" s="1">
        <f t="shared" ref="G39" si="48">AVERAGE(G29:G38)</f>
        <v>72.502548509561308</v>
      </c>
      <c r="I39" s="1">
        <f>AVERAGE(I29:I38)</f>
        <v>9.4507957082768144</v>
      </c>
      <c r="J39" s="1">
        <f t="shared" ref="J39" si="49">AVERAGE(J29:J38)</f>
        <v>11.507936507936504</v>
      </c>
      <c r="K39" s="1">
        <f t="shared" ref="K39" si="50">AVERAGE(K29:K38)</f>
        <v>23.859957416628909</v>
      </c>
      <c r="L39" s="1">
        <f t="shared" ref="L39" si="51">AVERAGE(L29:L38)</f>
        <v>23.650793650793638</v>
      </c>
      <c r="M39" s="1">
        <f t="shared" ref="M39" si="52">AVERAGE(M29:M38)</f>
        <v>61.744762373453327</v>
      </c>
      <c r="N39" s="1">
        <f t="shared" ref="N39" si="53">AVERAGE(N29:N38)</f>
        <v>77.31723964191977</v>
      </c>
      <c r="P39" s="1">
        <f>AVERAGE(P29:P38)</f>
        <v>9.1763288757746544</v>
      </c>
      <c r="Q39" s="1">
        <f t="shared" ref="Q39" si="54">AVERAGE(Q29:Q38)</f>
        <v>10.555555555555552</v>
      </c>
      <c r="R39" s="1">
        <f t="shared" ref="R39" si="55">AVERAGE(R29:R38)</f>
        <v>22.924845317122358</v>
      </c>
      <c r="S39" s="1">
        <f t="shared" ref="S39" si="56">AVERAGE(S29:S38)</f>
        <v>20.079365079365083</v>
      </c>
      <c r="T39" s="1">
        <f t="shared" ref="T39" si="57">AVERAGE(T29:T38)</f>
        <v>52.488399887514049</v>
      </c>
      <c r="U39" s="1">
        <f t="shared" ref="U39" si="58">AVERAGE(U29:U38)</f>
        <v>63.330667650918642</v>
      </c>
      <c r="W39" s="1">
        <f>AVERAGE(W29:W38)</f>
        <v>7.7256719736828741</v>
      </c>
      <c r="X39" s="1">
        <f t="shared" ref="X39" si="59">AVERAGE(X29:X38)</f>
        <v>9.1269841269841265</v>
      </c>
      <c r="Y39" s="1">
        <f t="shared" ref="Y39" si="60">AVERAGE(Y29:Y38)</f>
        <v>20.420365076708489</v>
      </c>
      <c r="Z39" s="1">
        <f t="shared" ref="Z39" si="61">AVERAGE(Z29:Z38)</f>
        <v>19.444444444444439</v>
      </c>
      <c r="AA39" s="1">
        <f t="shared" ref="AA39" si="62">AVERAGE(AA29:AA38)</f>
        <v>58.954173697037866</v>
      </c>
      <c r="AB39" s="1">
        <f t="shared" ref="AB39" si="63">AVERAGE(AB29:AB38)</f>
        <v>70.173650168728926</v>
      </c>
    </row>
    <row r="40" spans="1:28" s="1" customFormat="1" x14ac:dyDescent="0.45">
      <c r="A40" s="1" t="s">
        <v>15</v>
      </c>
      <c r="B40" s="1">
        <f>MAX(B29:B38)</f>
        <v>11.0778443113772</v>
      </c>
      <c r="C40" s="1">
        <f t="shared" ref="C40:G40" si="64">MAX(C29:C38)</f>
        <v>11.1111111111111</v>
      </c>
      <c r="D40" s="1">
        <f t="shared" si="64"/>
        <v>23.0283911671924</v>
      </c>
      <c r="E40" s="1">
        <f t="shared" si="64"/>
        <v>27.7777777777778</v>
      </c>
      <c r="F40" s="1">
        <f t="shared" si="64"/>
        <v>72.614946569178898</v>
      </c>
      <c r="G40" s="1">
        <f t="shared" si="64"/>
        <v>94.927001312336003</v>
      </c>
      <c r="I40" s="1">
        <f>MAX(I29:I38)</f>
        <v>12.703583061889301</v>
      </c>
      <c r="J40" s="1">
        <f t="shared" ref="J40:N40" si="65">MAX(J29:J38)</f>
        <v>15.8730158730159</v>
      </c>
      <c r="K40" s="1">
        <f t="shared" si="65"/>
        <v>39.739413680781801</v>
      </c>
      <c r="L40" s="1">
        <f t="shared" si="65"/>
        <v>34.920634920634903</v>
      </c>
      <c r="M40" s="1">
        <f t="shared" si="65"/>
        <v>89.838477221597302</v>
      </c>
      <c r="N40" s="1">
        <f t="shared" si="65"/>
        <v>96.342156449193894</v>
      </c>
      <c r="P40" s="1">
        <f>MAX(P29:P38)</f>
        <v>12.6582278481013</v>
      </c>
      <c r="Q40" s="1">
        <f t="shared" ref="Q40:U40" si="66">MAX(Q29:Q38)</f>
        <v>14.285714285714301</v>
      </c>
      <c r="R40" s="1">
        <f t="shared" si="66"/>
        <v>31.3479623824451</v>
      </c>
      <c r="S40" s="1">
        <f t="shared" si="66"/>
        <v>25.396825396825399</v>
      </c>
      <c r="T40" s="1">
        <f t="shared" si="66"/>
        <v>63.772204255718002</v>
      </c>
      <c r="U40" s="1">
        <f t="shared" si="66"/>
        <v>74.921787120359994</v>
      </c>
      <c r="W40" s="1">
        <f>MAX(W29:W38)</f>
        <v>11.838006230529601</v>
      </c>
      <c r="X40" s="1">
        <f t="shared" ref="X40:AB40" si="67">MAX(X29:X38)</f>
        <v>15.0793650793651</v>
      </c>
      <c r="Y40" s="1">
        <f t="shared" si="67"/>
        <v>28.307692307692299</v>
      </c>
      <c r="Z40" s="1">
        <f t="shared" si="67"/>
        <v>29.365079365079399</v>
      </c>
      <c r="AA40" s="1">
        <f t="shared" si="67"/>
        <v>72.850171072365995</v>
      </c>
      <c r="AB40" s="1">
        <f t="shared" si="67"/>
        <v>95.812828083989501</v>
      </c>
    </row>
    <row r="41" spans="1:28" s="1" customFormat="1" x14ac:dyDescent="0.45"/>
    <row r="42" spans="1:28" x14ac:dyDescent="0.45">
      <c r="A42" t="s">
        <v>13</v>
      </c>
      <c r="B42">
        <v>7.7419354838709697</v>
      </c>
      <c r="C42">
        <v>6.3492063492063497</v>
      </c>
      <c r="D42">
        <v>11.935483870967699</v>
      </c>
      <c r="E42">
        <v>20.634920634920601</v>
      </c>
      <c r="F42">
        <v>66.840961286089197</v>
      </c>
      <c r="G42">
        <v>96.718281308586398</v>
      </c>
      <c r="I42">
        <v>3.05810397553517</v>
      </c>
      <c r="J42">
        <v>3.9682539682539701</v>
      </c>
      <c r="K42">
        <v>16.207951070336399</v>
      </c>
      <c r="L42">
        <v>17.460317460317501</v>
      </c>
      <c r="M42">
        <v>58.4384959692538</v>
      </c>
      <c r="N42">
        <v>71.269216347956501</v>
      </c>
      <c r="P42">
        <v>11.5755627009646</v>
      </c>
      <c r="Q42">
        <v>11.9047619047619</v>
      </c>
      <c r="R42">
        <v>21.864951768488702</v>
      </c>
      <c r="S42">
        <v>25.396825396825399</v>
      </c>
      <c r="T42">
        <v>67.565089520059999</v>
      </c>
      <c r="U42">
        <v>63.867114266966603</v>
      </c>
      <c r="W42">
        <v>3.4375</v>
      </c>
      <c r="X42">
        <v>4.7619047619047601</v>
      </c>
      <c r="Y42">
        <v>30.3125</v>
      </c>
      <c r="Z42">
        <v>32.539682539682502</v>
      </c>
      <c r="AA42">
        <v>74.267669666291695</v>
      </c>
      <c r="AB42">
        <v>66.201490438695203</v>
      </c>
    </row>
    <row r="43" spans="1:28" x14ac:dyDescent="0.45">
      <c r="B43">
        <v>8.2539682539682495</v>
      </c>
      <c r="C43">
        <v>7.9365079365079403</v>
      </c>
      <c r="D43">
        <v>12.698412698412699</v>
      </c>
      <c r="E43">
        <v>16.6666666666667</v>
      </c>
      <c r="F43">
        <v>58.254534589426299</v>
      </c>
      <c r="G43">
        <v>73.479389295088097</v>
      </c>
      <c r="I43">
        <v>5.0473186119873796</v>
      </c>
      <c r="J43">
        <v>8.7301587301587293</v>
      </c>
      <c r="K43">
        <v>21.1356466876972</v>
      </c>
      <c r="L43">
        <v>20.634920634920601</v>
      </c>
      <c r="M43">
        <v>57.5512045369329</v>
      </c>
      <c r="N43">
        <v>71.678149606299201</v>
      </c>
      <c r="P43">
        <v>4.3613707165109004</v>
      </c>
      <c r="Q43">
        <v>7.1428571428571397</v>
      </c>
      <c r="R43">
        <v>22.118380062305299</v>
      </c>
      <c r="S43">
        <v>20.634920634920601</v>
      </c>
      <c r="T43">
        <v>62.158148200225</v>
      </c>
      <c r="U43">
        <v>90.479705661792295</v>
      </c>
      <c r="W43">
        <v>8.7947882736156409</v>
      </c>
      <c r="X43">
        <v>12.698412698412699</v>
      </c>
      <c r="Y43">
        <v>26.058631921824102</v>
      </c>
      <c r="Z43">
        <v>25.396825396825399</v>
      </c>
      <c r="AA43">
        <v>51.790401199850002</v>
      </c>
      <c r="AB43">
        <v>65.999367266591705</v>
      </c>
    </row>
    <row r="44" spans="1:28" x14ac:dyDescent="0.45">
      <c r="B44">
        <v>5.9936908517350203</v>
      </c>
      <c r="C44">
        <v>7.9365079365079403</v>
      </c>
      <c r="D44">
        <v>11.98738170347</v>
      </c>
      <c r="E44">
        <v>13.492063492063499</v>
      </c>
      <c r="F44">
        <v>55.3398598612673</v>
      </c>
      <c r="G44">
        <v>83.245746625421802</v>
      </c>
      <c r="I44">
        <v>11.98738170347</v>
      </c>
      <c r="J44">
        <v>14.285714285714301</v>
      </c>
      <c r="K44">
        <v>12.3028391167192</v>
      </c>
      <c r="L44">
        <v>16.6666666666667</v>
      </c>
      <c r="M44">
        <v>48.0074756280465</v>
      </c>
      <c r="N44">
        <v>93.042861829771297</v>
      </c>
      <c r="P44">
        <v>7.0512820512820502</v>
      </c>
      <c r="Q44">
        <v>12.698412698412699</v>
      </c>
      <c r="R44">
        <v>33.974358974358999</v>
      </c>
      <c r="S44">
        <v>30.952380952380999</v>
      </c>
      <c r="T44">
        <v>60.273422853393299</v>
      </c>
      <c r="U44">
        <v>94.056407011623506</v>
      </c>
      <c r="W44">
        <v>9.0909090909090899</v>
      </c>
      <c r="X44">
        <v>9.5238095238095202</v>
      </c>
      <c r="Y44">
        <v>39.285714285714299</v>
      </c>
      <c r="Z44">
        <v>34.920634920634903</v>
      </c>
      <c r="AA44">
        <v>61.773235376827898</v>
      </c>
      <c r="AB44">
        <v>38.310543213348303</v>
      </c>
    </row>
    <row r="45" spans="1:28" x14ac:dyDescent="0.45">
      <c r="B45">
        <v>8.75</v>
      </c>
      <c r="C45">
        <v>9.5238095238095202</v>
      </c>
      <c r="D45">
        <v>13.4375</v>
      </c>
      <c r="E45">
        <v>17.460317460317501</v>
      </c>
      <c r="F45">
        <v>52.895341207349098</v>
      </c>
      <c r="G45">
        <v>67.6251406074241</v>
      </c>
      <c r="I45">
        <v>11.280487804878</v>
      </c>
      <c r="J45">
        <v>10.3174603174603</v>
      </c>
      <c r="K45">
        <v>18.292682926829301</v>
      </c>
      <c r="L45">
        <v>17.460317460317501</v>
      </c>
      <c r="M45">
        <v>55.438577990251197</v>
      </c>
      <c r="N45">
        <v>47.283933258342699</v>
      </c>
      <c r="P45">
        <v>15.359477124183</v>
      </c>
      <c r="Q45">
        <v>12.698412698412699</v>
      </c>
      <c r="R45">
        <v>30.065359477124201</v>
      </c>
      <c r="S45">
        <v>26.1904761904762</v>
      </c>
      <c r="T45">
        <v>48.370125609298803</v>
      </c>
      <c r="U45">
        <v>87.442585301837298</v>
      </c>
      <c r="W45">
        <v>7.07395498392283</v>
      </c>
      <c r="X45">
        <v>11.1111111111111</v>
      </c>
      <c r="Y45">
        <v>17.363344051446902</v>
      </c>
      <c r="Z45">
        <v>19.841269841269799</v>
      </c>
      <c r="AA45">
        <v>85.724831271091105</v>
      </c>
      <c r="AB45">
        <v>97.113446756655406</v>
      </c>
    </row>
    <row r="46" spans="1:28" x14ac:dyDescent="0.45">
      <c r="B46">
        <v>3.1055900621118</v>
      </c>
      <c r="C46">
        <v>5.5555555555555598</v>
      </c>
      <c r="D46">
        <v>13.975155279503101</v>
      </c>
      <c r="E46">
        <v>19.841269841269799</v>
      </c>
      <c r="F46">
        <v>82.439304461942299</v>
      </c>
      <c r="G46">
        <v>76.574217285339301</v>
      </c>
      <c r="I46">
        <v>10.457516339869301</v>
      </c>
      <c r="J46">
        <v>14.285714285714301</v>
      </c>
      <c r="K46">
        <v>24.509803921568601</v>
      </c>
      <c r="L46">
        <v>26.984126984126998</v>
      </c>
      <c r="M46">
        <v>79.512912448443899</v>
      </c>
      <c r="N46">
        <v>91.312804649418794</v>
      </c>
      <c r="P46">
        <v>7.12166172106825</v>
      </c>
      <c r="Q46">
        <v>7.1428571428571397</v>
      </c>
      <c r="R46">
        <v>16.320474777448101</v>
      </c>
      <c r="S46">
        <v>17.460317460317501</v>
      </c>
      <c r="T46">
        <v>54.448760311211103</v>
      </c>
      <c r="U46">
        <v>76.131303899512602</v>
      </c>
      <c r="W46">
        <v>6.1728395061728403</v>
      </c>
      <c r="X46">
        <v>6.3492063492063497</v>
      </c>
      <c r="Y46">
        <v>15.7407407407407</v>
      </c>
      <c r="Z46">
        <v>21.428571428571399</v>
      </c>
      <c r="AA46">
        <v>74.719078083989501</v>
      </c>
      <c r="AB46">
        <v>78.678641732283495</v>
      </c>
    </row>
    <row r="47" spans="1:28" x14ac:dyDescent="0.45">
      <c r="B47">
        <v>10.625</v>
      </c>
      <c r="C47">
        <v>9.5238095238095202</v>
      </c>
      <c r="D47">
        <v>9.0625</v>
      </c>
      <c r="E47">
        <v>15.0793650793651</v>
      </c>
      <c r="F47">
        <v>40.207278777652803</v>
      </c>
      <c r="G47">
        <v>99.029222909636303</v>
      </c>
      <c r="I47">
        <v>9.1463414634146307</v>
      </c>
      <c r="J47">
        <v>7.1428571428571397</v>
      </c>
      <c r="K47">
        <v>20.121951219512201</v>
      </c>
      <c r="L47">
        <v>19.047619047619001</v>
      </c>
      <c r="M47">
        <v>44.859333989501302</v>
      </c>
      <c r="N47">
        <v>54.881714004499401</v>
      </c>
      <c r="P47">
        <v>5.5214723926380396</v>
      </c>
      <c r="Q47">
        <v>8.7301587301587293</v>
      </c>
      <c r="R47">
        <v>12.269938650306701</v>
      </c>
      <c r="S47">
        <v>15.0793650793651</v>
      </c>
      <c r="T47">
        <v>55.831399981252297</v>
      </c>
      <c r="U47">
        <v>92.557766216722897</v>
      </c>
      <c r="W47">
        <v>6.0509554140127397</v>
      </c>
      <c r="X47">
        <v>7.9365079365079403</v>
      </c>
      <c r="Y47">
        <v>24.5222929936306</v>
      </c>
      <c r="Z47">
        <v>20.634920634920601</v>
      </c>
      <c r="AA47">
        <v>56.376253749531301</v>
      </c>
      <c r="AB47">
        <v>59.561011904761898</v>
      </c>
    </row>
    <row r="48" spans="1:28" x14ac:dyDescent="0.45">
      <c r="B48">
        <v>5.4711246200607899</v>
      </c>
      <c r="C48">
        <v>11.1111111111111</v>
      </c>
      <c r="D48">
        <v>12.4620060790274</v>
      </c>
      <c r="E48">
        <v>15.0793650793651</v>
      </c>
      <c r="F48">
        <v>63.717718878890103</v>
      </c>
      <c r="G48">
        <v>78.596913667041605</v>
      </c>
      <c r="I48">
        <v>13</v>
      </c>
      <c r="J48">
        <v>11.1111111111111</v>
      </c>
      <c r="K48">
        <v>24.3333333333333</v>
      </c>
      <c r="L48">
        <v>25.396825396825399</v>
      </c>
      <c r="M48">
        <v>68.531179696288007</v>
      </c>
      <c r="N48">
        <v>56.069846737907802</v>
      </c>
      <c r="P48">
        <v>13.4375</v>
      </c>
      <c r="Q48">
        <v>11.9047619047619</v>
      </c>
      <c r="R48">
        <v>24.6875</v>
      </c>
      <c r="S48">
        <v>26.984126984126998</v>
      </c>
      <c r="T48">
        <v>52.936351706036703</v>
      </c>
      <c r="U48">
        <v>76.667076771653498</v>
      </c>
      <c r="W48">
        <v>15.960912052117299</v>
      </c>
      <c r="X48">
        <v>12.698412698412699</v>
      </c>
      <c r="Y48">
        <v>20.8469055374593</v>
      </c>
      <c r="Z48">
        <v>28.571428571428601</v>
      </c>
      <c r="AA48">
        <v>47.842261904761898</v>
      </c>
      <c r="AB48">
        <v>76.414276340457405</v>
      </c>
    </row>
    <row r="49" spans="1:28" x14ac:dyDescent="0.45">
      <c r="B49">
        <v>9.7484276729559696</v>
      </c>
      <c r="C49">
        <v>11.1111111111111</v>
      </c>
      <c r="D49">
        <v>10.6918238993711</v>
      </c>
      <c r="E49">
        <v>15.8730158730159</v>
      </c>
      <c r="F49">
        <v>71.601108455193099</v>
      </c>
      <c r="G49">
        <v>86.548849362579702</v>
      </c>
      <c r="I49">
        <v>8.5365853658536608</v>
      </c>
      <c r="J49">
        <v>10.3174603174603</v>
      </c>
      <c r="K49">
        <v>28.658536585365901</v>
      </c>
      <c r="L49">
        <v>23.8095238095238</v>
      </c>
      <c r="M49">
        <v>52.380366516685399</v>
      </c>
      <c r="N49">
        <v>68.962668728908895</v>
      </c>
      <c r="P49">
        <v>5.6603773584905701</v>
      </c>
      <c r="Q49">
        <v>6.3492063492063497</v>
      </c>
      <c r="R49">
        <v>18.867924528301899</v>
      </c>
      <c r="S49">
        <v>17.460317460317501</v>
      </c>
      <c r="T49">
        <v>67.198924353205896</v>
      </c>
      <c r="U49">
        <v>69.924657855268094</v>
      </c>
      <c r="W49">
        <v>5.4545454545454497</v>
      </c>
      <c r="X49">
        <v>4.7619047619047601</v>
      </c>
      <c r="Y49">
        <v>23.3333333333333</v>
      </c>
      <c r="Z49">
        <v>25.396825396825399</v>
      </c>
      <c r="AA49">
        <v>56.432789651293596</v>
      </c>
      <c r="AB49">
        <v>52.303325365579298</v>
      </c>
    </row>
    <row r="50" spans="1:28" x14ac:dyDescent="0.45">
      <c r="B50">
        <v>10.828025477707</v>
      </c>
      <c r="C50">
        <v>14.285714285714301</v>
      </c>
      <c r="D50">
        <v>21.974522292993601</v>
      </c>
      <c r="E50">
        <v>20.634920634920601</v>
      </c>
      <c r="F50">
        <v>53.444296025496797</v>
      </c>
      <c r="G50">
        <v>80.429790026246707</v>
      </c>
      <c r="I50">
        <v>12.1405750798722</v>
      </c>
      <c r="J50">
        <v>11.9047619047619</v>
      </c>
      <c r="K50">
        <v>21.725239616613401</v>
      </c>
      <c r="L50">
        <v>20.634920634920601</v>
      </c>
      <c r="M50">
        <v>44.762080521184799</v>
      </c>
      <c r="N50">
        <v>91.725253093363307</v>
      </c>
      <c r="P50">
        <v>12.9032258064516</v>
      </c>
      <c r="Q50">
        <v>13.492063492063499</v>
      </c>
      <c r="R50">
        <v>26.451612903225801</v>
      </c>
      <c r="S50">
        <v>24.603174603174601</v>
      </c>
      <c r="T50">
        <v>60.438343644544403</v>
      </c>
      <c r="U50">
        <v>80.425981908511403</v>
      </c>
      <c r="W50">
        <v>9.81012658227848</v>
      </c>
      <c r="X50">
        <v>10.3174603174603</v>
      </c>
      <c r="Y50">
        <v>29.430379746835399</v>
      </c>
      <c r="Z50">
        <v>23.015873015873002</v>
      </c>
      <c r="AA50">
        <v>45.258014623172102</v>
      </c>
      <c r="AB50">
        <v>51.2850932695913</v>
      </c>
    </row>
    <row r="51" spans="1:28" x14ac:dyDescent="0.45">
      <c r="B51">
        <v>12.6543209876543</v>
      </c>
      <c r="C51">
        <v>11.9047619047619</v>
      </c>
      <c r="D51">
        <v>15.1234567901235</v>
      </c>
      <c r="E51">
        <v>17.460317460317501</v>
      </c>
      <c r="F51">
        <v>49.275871766029198</v>
      </c>
      <c r="G51">
        <v>79.086696194225695</v>
      </c>
      <c r="I51">
        <v>11.926605504587201</v>
      </c>
      <c r="J51">
        <v>12.698412698412699</v>
      </c>
      <c r="K51">
        <v>24.159021406727799</v>
      </c>
      <c r="L51">
        <v>18.253968253968299</v>
      </c>
      <c r="M51">
        <v>48.035304180727401</v>
      </c>
      <c r="N51">
        <v>88.400766310461194</v>
      </c>
      <c r="P51">
        <v>2.8037383177570101</v>
      </c>
      <c r="Q51">
        <v>4.7619047619047601</v>
      </c>
      <c r="R51">
        <v>10.903426791277299</v>
      </c>
      <c r="S51">
        <v>10.3174603174603</v>
      </c>
      <c r="T51">
        <v>78.684500374953103</v>
      </c>
      <c r="U51">
        <v>59.181957724034497</v>
      </c>
      <c r="W51">
        <v>10.8974358974359</v>
      </c>
      <c r="X51">
        <v>11.9047619047619</v>
      </c>
      <c r="Y51">
        <v>15.705128205128201</v>
      </c>
      <c r="Z51">
        <v>15.8730158730159</v>
      </c>
      <c r="AA51">
        <v>55.506831177352801</v>
      </c>
      <c r="AB51">
        <v>77.753854986876604</v>
      </c>
    </row>
    <row r="52" spans="1:28" s="1" customFormat="1" x14ac:dyDescent="0.45">
      <c r="A52" s="1" t="s">
        <v>14</v>
      </c>
      <c r="B52" s="1">
        <f>AVERAGE(B42:B51)</f>
        <v>8.3172083410064097</v>
      </c>
      <c r="C52" s="1">
        <f t="shared" ref="C52" si="68">AVERAGE(C42:C51)</f>
        <v>9.5238095238095219</v>
      </c>
      <c r="D52" s="1">
        <f t="shared" ref="D52" si="69">AVERAGE(D42:D51)</f>
        <v>13.33482426138691</v>
      </c>
      <c r="E52" s="1">
        <f t="shared" ref="E52" si="70">AVERAGE(E42:E51)</f>
        <v>17.222222222222232</v>
      </c>
      <c r="F52" s="1">
        <f t="shared" ref="F52" si="71">AVERAGE(F42:F51)</f>
        <v>59.401627530933624</v>
      </c>
      <c r="G52" s="1">
        <f t="shared" ref="G52" si="72">AVERAGE(G42:G51)</f>
        <v>82.133424728158985</v>
      </c>
      <c r="I52" s="1">
        <f>AVERAGE(I42:I51)</f>
        <v>9.6580915849467548</v>
      </c>
      <c r="J52" s="1">
        <f t="shared" ref="J52" si="73">AVERAGE(J42:J51)</f>
        <v>10.476190476190474</v>
      </c>
      <c r="K52" s="1">
        <f t="shared" ref="K52" si="74">AVERAGE(K42:K51)</f>
        <v>21.144700588470332</v>
      </c>
      <c r="L52" s="1">
        <f t="shared" ref="L52" si="75">AVERAGE(L42:L51)</f>
        <v>20.63492063492064</v>
      </c>
      <c r="M52" s="1">
        <f t="shared" ref="M52" si="76">AVERAGE(M42:M51)</f>
        <v>55.751693147731523</v>
      </c>
      <c r="N52" s="1">
        <f t="shared" ref="N52" si="77">AVERAGE(N42:N51)</f>
        <v>73.462721456692918</v>
      </c>
      <c r="P52" s="1">
        <f>AVERAGE(P42:P51)</f>
        <v>8.5795668189346017</v>
      </c>
      <c r="Q52" s="1">
        <f t="shared" ref="Q52" si="78">AVERAGE(Q42:Q51)</f>
        <v>9.6825396825396819</v>
      </c>
      <c r="R52" s="1">
        <f t="shared" ref="R52" si="79">AVERAGE(R42:R51)</f>
        <v>21.752392793283697</v>
      </c>
      <c r="S52" s="1">
        <f t="shared" ref="S52" si="80">AVERAGE(S42:S51)</f>
        <v>21.507936507936517</v>
      </c>
      <c r="T52" s="1">
        <f t="shared" ref="T52" si="81">AVERAGE(T42:T51)</f>
        <v>60.790506655418064</v>
      </c>
      <c r="U52" s="1">
        <f t="shared" ref="U52" si="82">AVERAGE(U42:U51)</f>
        <v>79.073455661792281</v>
      </c>
      <c r="W52" s="1">
        <f>AVERAGE(W42:W51)</f>
        <v>8.2743967255010276</v>
      </c>
      <c r="X52" s="1">
        <f t="shared" ref="X52" si="83">AVERAGE(X42:X51)</f>
        <v>9.2063492063492021</v>
      </c>
      <c r="Y52" s="1">
        <f t="shared" ref="Y52" si="84">AVERAGE(Y42:Y51)</f>
        <v>24.259897081611278</v>
      </c>
      <c r="Z52" s="1">
        <f t="shared" ref="Z52" si="85">AVERAGE(Z42:Z51)</f>
        <v>24.761904761904752</v>
      </c>
      <c r="AA52" s="1">
        <f t="shared" ref="AA52" si="86">AVERAGE(AA42:AA51)</f>
        <v>60.969136670416184</v>
      </c>
      <c r="AB52" s="1">
        <f t="shared" ref="AB52" si="87">AVERAGE(AB42:AB51)</f>
        <v>66.362105127484071</v>
      </c>
    </row>
    <row r="53" spans="1:28" s="1" customFormat="1" x14ac:dyDescent="0.45">
      <c r="A53" s="1" t="s">
        <v>15</v>
      </c>
      <c r="B53" s="1">
        <f>MAX(B42:B51)</f>
        <v>12.6543209876543</v>
      </c>
      <c r="C53" s="1">
        <f t="shared" ref="C53:G53" si="88">MAX(C42:C51)</f>
        <v>14.285714285714301</v>
      </c>
      <c r="D53" s="1">
        <f t="shared" si="88"/>
        <v>21.974522292993601</v>
      </c>
      <c r="E53" s="1">
        <f t="shared" si="88"/>
        <v>20.634920634920601</v>
      </c>
      <c r="F53" s="1">
        <f t="shared" si="88"/>
        <v>82.439304461942299</v>
      </c>
      <c r="G53" s="1">
        <f t="shared" si="88"/>
        <v>99.029222909636303</v>
      </c>
      <c r="I53" s="1">
        <f>MAX(I42:I51)</f>
        <v>13</v>
      </c>
      <c r="J53" s="1">
        <f t="shared" ref="J53:N53" si="89">MAX(J42:J51)</f>
        <v>14.285714285714301</v>
      </c>
      <c r="K53" s="1">
        <f t="shared" si="89"/>
        <v>28.658536585365901</v>
      </c>
      <c r="L53" s="1">
        <f t="shared" si="89"/>
        <v>26.984126984126998</v>
      </c>
      <c r="M53" s="1">
        <f t="shared" si="89"/>
        <v>79.512912448443899</v>
      </c>
      <c r="N53" s="1">
        <f t="shared" si="89"/>
        <v>93.042861829771297</v>
      </c>
      <c r="P53" s="1">
        <f>MAX(P42:P51)</f>
        <v>15.359477124183</v>
      </c>
      <c r="Q53" s="1">
        <f t="shared" ref="Q53:U53" si="90">MAX(Q42:Q51)</f>
        <v>13.492063492063499</v>
      </c>
      <c r="R53" s="1">
        <f t="shared" si="90"/>
        <v>33.974358974358999</v>
      </c>
      <c r="S53" s="1">
        <f t="shared" si="90"/>
        <v>30.952380952380999</v>
      </c>
      <c r="T53" s="1">
        <f t="shared" si="90"/>
        <v>78.684500374953103</v>
      </c>
      <c r="U53" s="1">
        <f t="shared" si="90"/>
        <v>94.056407011623506</v>
      </c>
      <c r="W53" s="1">
        <f>MAX(W42:W51)</f>
        <v>15.960912052117299</v>
      </c>
      <c r="X53" s="1">
        <f t="shared" ref="X53:AB53" si="91">MAX(X42:X51)</f>
        <v>12.698412698412699</v>
      </c>
      <c r="Y53" s="1">
        <f t="shared" si="91"/>
        <v>39.285714285714299</v>
      </c>
      <c r="Z53" s="1">
        <f t="shared" si="91"/>
        <v>34.920634920634903</v>
      </c>
      <c r="AA53" s="1">
        <f t="shared" si="91"/>
        <v>85.724831271091105</v>
      </c>
      <c r="AB53" s="1">
        <f t="shared" si="91"/>
        <v>97.113446756655406</v>
      </c>
    </row>
    <row r="55" spans="1:28" x14ac:dyDescent="0.45">
      <c r="A55" t="s">
        <v>14</v>
      </c>
    </row>
    <row r="56" spans="1:28" x14ac:dyDescent="0.45">
      <c r="A56" t="s">
        <v>16</v>
      </c>
      <c r="B56" t="s">
        <v>17</v>
      </c>
      <c r="I56" t="s">
        <v>18</v>
      </c>
      <c r="P56" t="s">
        <v>19</v>
      </c>
      <c r="W56" t="s">
        <v>20</v>
      </c>
    </row>
    <row r="57" spans="1:28" x14ac:dyDescent="0.45">
      <c r="A57" t="s">
        <v>21</v>
      </c>
      <c r="B57">
        <f>B13</f>
        <v>8.0064918387279409</v>
      </c>
      <c r="C57">
        <f t="shared" ref="C57:G57" si="92">C13</f>
        <v>8.9682539682539666</v>
      </c>
      <c r="D57">
        <f t="shared" si="92"/>
        <v>23.2176090034433</v>
      </c>
      <c r="E57">
        <f t="shared" si="92"/>
        <v>8.3333333333333321</v>
      </c>
      <c r="F57">
        <f t="shared" si="92"/>
        <v>55.966676040494939</v>
      </c>
      <c r="G57">
        <f t="shared" si="92"/>
        <v>37.083714145106867</v>
      </c>
      <c r="I57">
        <f>I13</f>
        <v>9.0261685675855112</v>
      </c>
      <c r="J57">
        <f t="shared" ref="J57:N57" si="93">J13</f>
        <v>12.301587301587308</v>
      </c>
      <c r="K57">
        <f t="shared" si="93"/>
        <v>23.243304130196318</v>
      </c>
      <c r="L57">
        <f t="shared" si="93"/>
        <v>9.5238095238095202</v>
      </c>
      <c r="M57">
        <f t="shared" si="93"/>
        <v>54.876734158230235</v>
      </c>
      <c r="N57">
        <f t="shared" si="93"/>
        <v>41.46972839332583</v>
      </c>
      <c r="P57">
        <f>P13</f>
        <v>8.4779019940334894</v>
      </c>
      <c r="Q57">
        <f t="shared" ref="Q57:U57" si="94">Q13</f>
        <v>9.8412698412698401</v>
      </c>
      <c r="R57">
        <f t="shared" si="94"/>
        <v>36.192067625730644</v>
      </c>
      <c r="S57">
        <f t="shared" si="94"/>
        <v>9.1269841269841248</v>
      </c>
      <c r="T57">
        <f t="shared" si="94"/>
        <v>58.027951584176982</v>
      </c>
      <c r="U57">
        <f t="shared" si="94"/>
        <v>32.451109626921628</v>
      </c>
      <c r="W57">
        <f>W13</f>
        <v>9.1630580118522236</v>
      </c>
      <c r="X57">
        <f t="shared" ref="X57:AB57" si="95">X13</f>
        <v>9.6825396825396801</v>
      </c>
      <c r="Y57">
        <f t="shared" si="95"/>
        <v>32.022611563469226</v>
      </c>
      <c r="Z57">
        <f t="shared" si="95"/>
        <v>8.7301587301587258</v>
      </c>
      <c r="AA57">
        <f t="shared" si="95"/>
        <v>62.725411276715434</v>
      </c>
      <c r="AB57">
        <f t="shared" si="95"/>
        <v>47.95896606674166</v>
      </c>
    </row>
    <row r="58" spans="1:28" x14ac:dyDescent="0.45">
      <c r="A58" s="2">
        <v>7</v>
      </c>
      <c r="B58">
        <f>B26</f>
        <v>12.273360618405807</v>
      </c>
      <c r="C58">
        <f t="shared" ref="C58:G58" si="96">C26</f>
        <v>13.650793650793654</v>
      </c>
      <c r="D58">
        <f t="shared" si="96"/>
        <v>23.158821797478822</v>
      </c>
      <c r="E58">
        <f t="shared" si="96"/>
        <v>21.666666666666671</v>
      </c>
      <c r="F58">
        <f t="shared" si="96"/>
        <v>49.521641826021764</v>
      </c>
      <c r="G58">
        <f t="shared" si="96"/>
        <v>63.208925056242983</v>
      </c>
      <c r="I58">
        <f>I26</f>
        <v>8.4331436247217422</v>
      </c>
      <c r="J58">
        <f t="shared" ref="J58:N58" si="97">J26</f>
        <v>9.0476190476190492</v>
      </c>
      <c r="K58">
        <f t="shared" si="97"/>
        <v>21.938145759800417</v>
      </c>
      <c r="L58">
        <f t="shared" si="97"/>
        <v>20.158730158730172</v>
      </c>
      <c r="M58">
        <f t="shared" si="97"/>
        <v>57.757282292838383</v>
      </c>
      <c r="N58">
        <f t="shared" si="97"/>
        <v>69.455819975628032</v>
      </c>
      <c r="P58">
        <f>P26</f>
        <v>9.2936353121875364</v>
      </c>
      <c r="Q58">
        <f t="shared" ref="Q58:U58" si="98">Q26</f>
        <v>11.269841269841269</v>
      </c>
      <c r="R58">
        <f t="shared" si="98"/>
        <v>23.352532021171648</v>
      </c>
      <c r="S58">
        <f t="shared" si="98"/>
        <v>20.476190476190467</v>
      </c>
      <c r="T58">
        <f t="shared" si="98"/>
        <v>55.792762232845895</v>
      </c>
      <c r="U58">
        <f t="shared" si="98"/>
        <v>67.83558305211848</v>
      </c>
      <c r="W58">
        <f>W26</f>
        <v>9.8908394583531773</v>
      </c>
      <c r="X58">
        <f t="shared" ref="X58:AB58" si="99">X26</f>
        <v>10.634920634920634</v>
      </c>
      <c r="Y58">
        <f t="shared" si="99"/>
        <v>24.23405673670721</v>
      </c>
      <c r="Z58">
        <f t="shared" si="99"/>
        <v>20.079365079365083</v>
      </c>
      <c r="AA58">
        <f t="shared" si="99"/>
        <v>55.165125843644567</v>
      </c>
      <c r="AB58">
        <f t="shared" si="99"/>
        <v>62.132663104611915</v>
      </c>
    </row>
    <row r="59" spans="1:28" x14ac:dyDescent="0.45">
      <c r="A59" s="2">
        <v>12</v>
      </c>
      <c r="B59">
        <f>B39</f>
        <v>7.6650526573566777</v>
      </c>
      <c r="C59">
        <f t="shared" ref="C59:G59" si="100">C39</f>
        <v>8.730158730158724</v>
      </c>
      <c r="D59">
        <f t="shared" si="100"/>
        <v>16.449416129367357</v>
      </c>
      <c r="E59">
        <f t="shared" si="100"/>
        <v>18.571428571428569</v>
      </c>
      <c r="F59">
        <f t="shared" si="100"/>
        <v>60.562371109861274</v>
      </c>
      <c r="G59">
        <f t="shared" si="100"/>
        <v>72.502548509561308</v>
      </c>
      <c r="I59">
        <f>I39</f>
        <v>9.4507957082768144</v>
      </c>
      <c r="J59">
        <f t="shared" ref="J59:N59" si="101">J39</f>
        <v>11.507936507936504</v>
      </c>
      <c r="K59">
        <f t="shared" si="101"/>
        <v>23.859957416628909</v>
      </c>
      <c r="L59">
        <f t="shared" si="101"/>
        <v>23.650793650793638</v>
      </c>
      <c r="M59">
        <f t="shared" si="101"/>
        <v>61.744762373453327</v>
      </c>
      <c r="N59">
        <f t="shared" si="101"/>
        <v>77.31723964191977</v>
      </c>
      <c r="P59">
        <f>P39</f>
        <v>9.1763288757746544</v>
      </c>
      <c r="Q59">
        <f t="shared" ref="Q59:U59" si="102">Q39</f>
        <v>10.555555555555552</v>
      </c>
      <c r="R59">
        <f t="shared" si="102"/>
        <v>22.924845317122358</v>
      </c>
      <c r="S59">
        <f t="shared" si="102"/>
        <v>20.079365079365083</v>
      </c>
      <c r="T59">
        <f t="shared" si="102"/>
        <v>52.488399887514049</v>
      </c>
      <c r="U59">
        <f t="shared" si="102"/>
        <v>63.330667650918642</v>
      </c>
      <c r="W59">
        <f>W39</f>
        <v>7.7256719736828741</v>
      </c>
      <c r="X59">
        <f t="shared" ref="X59:AB59" si="103">X39</f>
        <v>9.1269841269841265</v>
      </c>
      <c r="Y59">
        <f t="shared" si="103"/>
        <v>20.420365076708489</v>
      </c>
      <c r="Z59">
        <f t="shared" si="103"/>
        <v>19.444444444444439</v>
      </c>
      <c r="AA59">
        <f t="shared" si="103"/>
        <v>58.954173697037866</v>
      </c>
      <c r="AB59">
        <f t="shared" si="103"/>
        <v>70.173650168728926</v>
      </c>
    </row>
    <row r="60" spans="1:28" x14ac:dyDescent="0.45">
      <c r="A60" s="2">
        <v>17</v>
      </c>
      <c r="B60">
        <f>B52</f>
        <v>8.3172083410064097</v>
      </c>
      <c r="C60">
        <f t="shared" ref="C60:G60" si="104">C52</f>
        <v>9.5238095238095219</v>
      </c>
      <c r="D60">
        <f t="shared" si="104"/>
        <v>13.33482426138691</v>
      </c>
      <c r="E60">
        <f t="shared" si="104"/>
        <v>17.222222222222232</v>
      </c>
      <c r="F60">
        <f t="shared" si="104"/>
        <v>59.401627530933624</v>
      </c>
      <c r="G60">
        <f t="shared" si="104"/>
        <v>82.133424728158985</v>
      </c>
      <c r="I60">
        <f>I52</f>
        <v>9.6580915849467548</v>
      </c>
      <c r="J60">
        <f t="shared" ref="J60:N60" si="105">J52</f>
        <v>10.476190476190474</v>
      </c>
      <c r="K60">
        <f t="shared" si="105"/>
        <v>21.144700588470332</v>
      </c>
      <c r="L60">
        <f t="shared" si="105"/>
        <v>20.63492063492064</v>
      </c>
      <c r="M60">
        <f t="shared" si="105"/>
        <v>55.751693147731523</v>
      </c>
      <c r="N60">
        <f t="shared" si="105"/>
        <v>73.462721456692918</v>
      </c>
      <c r="P60">
        <f>P52</f>
        <v>8.5795668189346017</v>
      </c>
      <c r="Q60">
        <f t="shared" ref="Q60:U60" si="106">Q52</f>
        <v>9.6825396825396819</v>
      </c>
      <c r="R60">
        <f t="shared" si="106"/>
        <v>21.752392793283697</v>
      </c>
      <c r="S60">
        <f t="shared" si="106"/>
        <v>21.507936507936517</v>
      </c>
      <c r="T60">
        <f t="shared" si="106"/>
        <v>60.790506655418064</v>
      </c>
      <c r="U60">
        <f t="shared" si="106"/>
        <v>79.073455661792281</v>
      </c>
      <c r="W60">
        <f>W52</f>
        <v>8.2743967255010276</v>
      </c>
      <c r="X60">
        <f t="shared" ref="X60:AB60" si="107">X52</f>
        <v>9.2063492063492021</v>
      </c>
      <c r="Y60">
        <f t="shared" si="107"/>
        <v>24.259897081611278</v>
      </c>
      <c r="Z60">
        <f t="shared" si="107"/>
        <v>24.761904761904752</v>
      </c>
      <c r="AA60">
        <f t="shared" si="107"/>
        <v>60.969136670416184</v>
      </c>
      <c r="AB60">
        <f t="shared" si="107"/>
        <v>66.362105127484071</v>
      </c>
    </row>
    <row r="62" spans="1:28" x14ac:dyDescent="0.45">
      <c r="A62" t="s">
        <v>15</v>
      </c>
    </row>
    <row r="63" spans="1:28" x14ac:dyDescent="0.45">
      <c r="A63" t="s">
        <v>16</v>
      </c>
      <c r="B63" t="s">
        <v>17</v>
      </c>
      <c r="I63" t="s">
        <v>18</v>
      </c>
      <c r="P63" t="s">
        <v>19</v>
      </c>
      <c r="W63" t="s">
        <v>20</v>
      </c>
    </row>
    <row r="64" spans="1:28" x14ac:dyDescent="0.45">
      <c r="A64" t="s">
        <v>21</v>
      </c>
      <c r="B64">
        <f>B14</f>
        <v>10.248447204968899</v>
      </c>
      <c r="C64">
        <f t="shared" ref="C64:G64" si="108">C14</f>
        <v>13.492063492063499</v>
      </c>
      <c r="D64">
        <f t="shared" si="108"/>
        <v>30.6748466257669</v>
      </c>
      <c r="E64">
        <f t="shared" si="108"/>
        <v>12.698412698412699</v>
      </c>
      <c r="F64">
        <f t="shared" si="108"/>
        <v>63.5255553993251</v>
      </c>
      <c r="G64">
        <f t="shared" si="108"/>
        <v>66.006104705661798</v>
      </c>
      <c r="I64">
        <f>I14</f>
        <v>12.974683544303801</v>
      </c>
      <c r="J64">
        <f t="shared" ref="J64:N64" si="109">J14</f>
        <v>17.460317460317501</v>
      </c>
      <c r="K64">
        <f t="shared" si="109"/>
        <v>30.868167202572401</v>
      </c>
      <c r="L64">
        <f t="shared" si="109"/>
        <v>13.492063492063499</v>
      </c>
      <c r="M64">
        <f t="shared" si="109"/>
        <v>88.067995406824195</v>
      </c>
      <c r="N64">
        <f t="shared" si="109"/>
        <v>80.311738376452894</v>
      </c>
      <c r="P64">
        <f>P14</f>
        <v>13.207547169811299</v>
      </c>
      <c r="Q64">
        <f t="shared" ref="Q64:U64" si="110">Q14</f>
        <v>14.285714285714301</v>
      </c>
      <c r="R64">
        <f t="shared" si="110"/>
        <v>49.371069182389903</v>
      </c>
      <c r="S64">
        <f t="shared" si="110"/>
        <v>12.698412698412699</v>
      </c>
      <c r="T64">
        <f t="shared" si="110"/>
        <v>82.895985658042704</v>
      </c>
      <c r="U64">
        <f t="shared" si="110"/>
        <v>63.273926696662897</v>
      </c>
      <c r="W64">
        <f>W14</f>
        <v>13.109756097561</v>
      </c>
      <c r="X64">
        <f t="shared" ref="X64:AB64" si="111">X14</f>
        <v>13.492063492063499</v>
      </c>
      <c r="Y64">
        <f t="shared" si="111"/>
        <v>44.859813084112098</v>
      </c>
      <c r="Z64">
        <f t="shared" si="111"/>
        <v>11.9047619047619</v>
      </c>
      <c r="AA64">
        <f t="shared" si="111"/>
        <v>87.487989782527194</v>
      </c>
      <c r="AB64">
        <f t="shared" si="111"/>
        <v>74.486489970003703</v>
      </c>
    </row>
    <row r="65" spans="1:28" x14ac:dyDescent="0.45">
      <c r="A65" s="2">
        <v>7</v>
      </c>
      <c r="B65">
        <f>B27</f>
        <v>18.855218855218901</v>
      </c>
      <c r="C65">
        <f t="shared" ref="C65:G65" si="112">C27</f>
        <v>20.634920634920601</v>
      </c>
      <c r="D65">
        <f t="shared" si="112"/>
        <v>43.6305732484076</v>
      </c>
      <c r="E65">
        <f t="shared" si="112"/>
        <v>30.158730158730201</v>
      </c>
      <c r="F65">
        <f t="shared" si="112"/>
        <v>69.8892130671166</v>
      </c>
      <c r="G65">
        <f t="shared" si="112"/>
        <v>94.375117172853393</v>
      </c>
      <c r="I65">
        <f>I27</f>
        <v>19.3037974683544</v>
      </c>
      <c r="J65">
        <f t="shared" ref="J65:N65" si="113">J27</f>
        <v>17.460317460317501</v>
      </c>
      <c r="K65">
        <f t="shared" si="113"/>
        <v>43.670886075949397</v>
      </c>
      <c r="L65">
        <f t="shared" si="113"/>
        <v>28.571428571428601</v>
      </c>
      <c r="M65">
        <f t="shared" si="113"/>
        <v>78.651106111735999</v>
      </c>
      <c r="N65">
        <f t="shared" si="113"/>
        <v>97.615239501312303</v>
      </c>
      <c r="P65">
        <f>P27</f>
        <v>14.1065830721003</v>
      </c>
      <c r="Q65">
        <f t="shared" ref="Q65:U65" si="114">Q27</f>
        <v>19.047619047619001</v>
      </c>
      <c r="R65">
        <f t="shared" si="114"/>
        <v>36.538461538461497</v>
      </c>
      <c r="S65">
        <f t="shared" si="114"/>
        <v>25.396825396825399</v>
      </c>
      <c r="T65">
        <f t="shared" si="114"/>
        <v>70.733443475815506</v>
      </c>
      <c r="U65">
        <f t="shared" si="114"/>
        <v>95.535421353580801</v>
      </c>
      <c r="W65">
        <f>W27</f>
        <v>12.6543209876543</v>
      </c>
      <c r="X65">
        <f t="shared" ref="X65:AB65" si="115">X27</f>
        <v>15.8730158730159</v>
      </c>
      <c r="Y65">
        <f t="shared" si="115"/>
        <v>32.063492063492099</v>
      </c>
      <c r="Z65">
        <f t="shared" si="115"/>
        <v>27.7777777777778</v>
      </c>
      <c r="AA65">
        <f t="shared" si="115"/>
        <v>68.033488001499805</v>
      </c>
      <c r="AB65">
        <f t="shared" si="115"/>
        <v>89.038772497187793</v>
      </c>
    </row>
    <row r="66" spans="1:28" x14ac:dyDescent="0.45">
      <c r="A66" s="2">
        <v>12</v>
      </c>
      <c r="B66">
        <f>B40</f>
        <v>11.0778443113772</v>
      </c>
      <c r="C66">
        <f t="shared" ref="C66:G66" si="116">C40</f>
        <v>11.1111111111111</v>
      </c>
      <c r="D66">
        <f t="shared" si="116"/>
        <v>23.0283911671924</v>
      </c>
      <c r="E66">
        <f t="shared" si="116"/>
        <v>27.7777777777778</v>
      </c>
      <c r="F66">
        <f t="shared" si="116"/>
        <v>72.614946569178898</v>
      </c>
      <c r="G66">
        <f t="shared" si="116"/>
        <v>94.927001312336003</v>
      </c>
      <c r="I66">
        <f>I40</f>
        <v>12.703583061889301</v>
      </c>
      <c r="J66">
        <f t="shared" ref="J66:N66" si="117">J40</f>
        <v>15.8730158730159</v>
      </c>
      <c r="K66">
        <f t="shared" si="117"/>
        <v>39.739413680781801</v>
      </c>
      <c r="L66">
        <f t="shared" si="117"/>
        <v>34.920634920634903</v>
      </c>
      <c r="M66">
        <f t="shared" si="117"/>
        <v>89.838477221597302</v>
      </c>
      <c r="N66">
        <f t="shared" si="117"/>
        <v>96.342156449193894</v>
      </c>
      <c r="P66">
        <f>P40</f>
        <v>12.6582278481013</v>
      </c>
      <c r="Q66">
        <f t="shared" ref="Q66:U66" si="118">Q40</f>
        <v>14.285714285714301</v>
      </c>
      <c r="R66">
        <f t="shared" si="118"/>
        <v>31.3479623824451</v>
      </c>
      <c r="S66">
        <f t="shared" si="118"/>
        <v>25.396825396825399</v>
      </c>
      <c r="T66">
        <f t="shared" si="118"/>
        <v>63.772204255718002</v>
      </c>
      <c r="U66">
        <f t="shared" si="118"/>
        <v>74.921787120359994</v>
      </c>
      <c r="W66">
        <f>W40</f>
        <v>11.838006230529601</v>
      </c>
      <c r="X66">
        <f t="shared" ref="X66:AB66" si="119">X40</f>
        <v>15.0793650793651</v>
      </c>
      <c r="Y66">
        <f t="shared" si="119"/>
        <v>28.307692307692299</v>
      </c>
      <c r="Z66">
        <f t="shared" si="119"/>
        <v>29.365079365079399</v>
      </c>
      <c r="AA66">
        <f t="shared" si="119"/>
        <v>72.850171072365995</v>
      </c>
      <c r="AB66">
        <f t="shared" si="119"/>
        <v>95.812828083989501</v>
      </c>
    </row>
    <row r="67" spans="1:28" x14ac:dyDescent="0.45">
      <c r="A67" s="2">
        <v>17</v>
      </c>
      <c r="B67">
        <f>B53</f>
        <v>12.6543209876543</v>
      </c>
      <c r="C67">
        <f t="shared" ref="C67:G67" si="120">C53</f>
        <v>14.285714285714301</v>
      </c>
      <c r="D67">
        <f t="shared" si="120"/>
        <v>21.974522292993601</v>
      </c>
      <c r="E67">
        <f t="shared" si="120"/>
        <v>20.634920634920601</v>
      </c>
      <c r="F67">
        <f t="shared" si="120"/>
        <v>82.439304461942299</v>
      </c>
      <c r="G67">
        <f t="shared" si="120"/>
        <v>99.029222909636303</v>
      </c>
      <c r="I67">
        <f>I53</f>
        <v>13</v>
      </c>
      <c r="J67">
        <f t="shared" ref="J67:N67" si="121">J53</f>
        <v>14.285714285714301</v>
      </c>
      <c r="K67">
        <f t="shared" si="121"/>
        <v>28.658536585365901</v>
      </c>
      <c r="L67">
        <f t="shared" si="121"/>
        <v>26.984126984126998</v>
      </c>
      <c r="M67">
        <f t="shared" si="121"/>
        <v>79.512912448443899</v>
      </c>
      <c r="N67">
        <f t="shared" si="121"/>
        <v>93.042861829771297</v>
      </c>
      <c r="P67">
        <f>P53</f>
        <v>15.359477124183</v>
      </c>
      <c r="Q67">
        <f t="shared" ref="Q67:U67" si="122">Q53</f>
        <v>13.492063492063499</v>
      </c>
      <c r="R67">
        <f t="shared" si="122"/>
        <v>33.974358974358999</v>
      </c>
      <c r="S67">
        <f t="shared" si="122"/>
        <v>30.952380952380999</v>
      </c>
      <c r="T67">
        <f t="shared" si="122"/>
        <v>78.684500374953103</v>
      </c>
      <c r="U67">
        <f t="shared" si="122"/>
        <v>94.056407011623506</v>
      </c>
      <c r="W67">
        <f>W53</f>
        <v>15.960912052117299</v>
      </c>
      <c r="X67">
        <f t="shared" ref="X67:AB67" si="123">X53</f>
        <v>12.698412698412699</v>
      </c>
      <c r="Y67">
        <f t="shared" si="123"/>
        <v>39.285714285714299</v>
      </c>
      <c r="Z67">
        <f t="shared" si="123"/>
        <v>34.920634920634903</v>
      </c>
      <c r="AA67">
        <f t="shared" si="123"/>
        <v>85.724831271091105</v>
      </c>
      <c r="AB67">
        <f t="shared" si="123"/>
        <v>97.113446756655406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Houston Clear Lake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Yipeng</dc:creator>
  <cp:lastModifiedBy>Yang, Yipeng</cp:lastModifiedBy>
  <dcterms:created xsi:type="dcterms:W3CDTF">2025-12-08T17:32:47Z</dcterms:created>
  <dcterms:modified xsi:type="dcterms:W3CDTF">2025-12-18T21:35:50Z</dcterms:modified>
</cp:coreProperties>
</file>