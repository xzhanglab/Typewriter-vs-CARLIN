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ml.chartshape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ml.chartshape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ml.chartshapes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ml.chartshapes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ngy\OneDrive - University of Houston-Clear Lake\Documents\Research\simuCarlin\div8ss05trip\"/>
    </mc:Choice>
  </mc:AlternateContent>
  <xr:revisionPtr revIDLastSave="0" documentId="13_ncr:1_{06E81980-B57B-4FF2-A295-CF47AEED10A3}" xr6:coauthVersionLast="47" xr6:coauthVersionMax="47" xr10:uidLastSave="{00000000-0000-0000-0000-000000000000}"/>
  <bookViews>
    <workbookView xWindow="-98" yWindow="-98" windowWidth="20715" windowHeight="13155" xr2:uid="{5E5E1390-5F26-4FA7-AB82-E27107303A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4" i="1" l="1"/>
  <c r="C64" i="1"/>
  <c r="F57" i="1"/>
  <c r="C57" i="1"/>
  <c r="AB53" i="1"/>
  <c r="AB67" i="1" s="1"/>
  <c r="AA53" i="1"/>
  <c r="AA67" i="1" s="1"/>
  <c r="Z53" i="1"/>
  <c r="Z67" i="1" s="1"/>
  <c r="Y53" i="1"/>
  <c r="Y67" i="1" s="1"/>
  <c r="X53" i="1"/>
  <c r="X67" i="1" s="1"/>
  <c r="W53" i="1"/>
  <c r="W67" i="1" s="1"/>
  <c r="U53" i="1"/>
  <c r="U67" i="1" s="1"/>
  <c r="T53" i="1"/>
  <c r="T67" i="1" s="1"/>
  <c r="S53" i="1"/>
  <c r="S67" i="1" s="1"/>
  <c r="R53" i="1"/>
  <c r="R67" i="1" s="1"/>
  <c r="Q53" i="1"/>
  <c r="Q67" i="1" s="1"/>
  <c r="P53" i="1"/>
  <c r="P67" i="1" s="1"/>
  <c r="N53" i="1"/>
  <c r="N67" i="1" s="1"/>
  <c r="M53" i="1"/>
  <c r="M67" i="1" s="1"/>
  <c r="L53" i="1"/>
  <c r="L67" i="1" s="1"/>
  <c r="K53" i="1"/>
  <c r="K67" i="1" s="1"/>
  <c r="J53" i="1"/>
  <c r="J67" i="1" s="1"/>
  <c r="I53" i="1"/>
  <c r="I67" i="1" s="1"/>
  <c r="G53" i="1"/>
  <c r="G67" i="1" s="1"/>
  <c r="F53" i="1"/>
  <c r="F67" i="1" s="1"/>
  <c r="E53" i="1"/>
  <c r="E67" i="1" s="1"/>
  <c r="D53" i="1"/>
  <c r="D67" i="1" s="1"/>
  <c r="C53" i="1"/>
  <c r="C67" i="1" s="1"/>
  <c r="B53" i="1"/>
  <c r="B67" i="1" s="1"/>
  <c r="AB40" i="1"/>
  <c r="AB66" i="1" s="1"/>
  <c r="AA40" i="1"/>
  <c r="AA66" i="1" s="1"/>
  <c r="Z40" i="1"/>
  <c r="Z66" i="1" s="1"/>
  <c r="Y40" i="1"/>
  <c r="Y66" i="1" s="1"/>
  <c r="X40" i="1"/>
  <c r="X66" i="1" s="1"/>
  <c r="W40" i="1"/>
  <c r="W66" i="1" s="1"/>
  <c r="U40" i="1"/>
  <c r="U66" i="1" s="1"/>
  <c r="T40" i="1"/>
  <c r="T66" i="1" s="1"/>
  <c r="S40" i="1"/>
  <c r="S66" i="1" s="1"/>
  <c r="R40" i="1"/>
  <c r="R66" i="1" s="1"/>
  <c r="Q40" i="1"/>
  <c r="Q66" i="1" s="1"/>
  <c r="P40" i="1"/>
  <c r="P66" i="1" s="1"/>
  <c r="N40" i="1"/>
  <c r="N66" i="1" s="1"/>
  <c r="M40" i="1"/>
  <c r="M66" i="1" s="1"/>
  <c r="L40" i="1"/>
  <c r="L66" i="1" s="1"/>
  <c r="K40" i="1"/>
  <c r="K66" i="1" s="1"/>
  <c r="J40" i="1"/>
  <c r="J66" i="1" s="1"/>
  <c r="I40" i="1"/>
  <c r="I66" i="1" s="1"/>
  <c r="G40" i="1"/>
  <c r="G66" i="1" s="1"/>
  <c r="F40" i="1"/>
  <c r="F66" i="1" s="1"/>
  <c r="E40" i="1"/>
  <c r="E66" i="1" s="1"/>
  <c r="D40" i="1"/>
  <c r="D66" i="1" s="1"/>
  <c r="C40" i="1"/>
  <c r="C66" i="1" s="1"/>
  <c r="B40" i="1"/>
  <c r="B66" i="1" s="1"/>
  <c r="AB27" i="1"/>
  <c r="AB65" i="1" s="1"/>
  <c r="AA27" i="1"/>
  <c r="AA65" i="1" s="1"/>
  <c r="Z27" i="1"/>
  <c r="Z65" i="1" s="1"/>
  <c r="Y27" i="1"/>
  <c r="Y65" i="1" s="1"/>
  <c r="X27" i="1"/>
  <c r="X65" i="1" s="1"/>
  <c r="W27" i="1"/>
  <c r="W65" i="1" s="1"/>
  <c r="U27" i="1"/>
  <c r="U65" i="1" s="1"/>
  <c r="T27" i="1"/>
  <c r="T65" i="1" s="1"/>
  <c r="S27" i="1"/>
  <c r="S65" i="1" s="1"/>
  <c r="R27" i="1"/>
  <c r="R65" i="1" s="1"/>
  <c r="Q27" i="1"/>
  <c r="Q65" i="1" s="1"/>
  <c r="P27" i="1"/>
  <c r="P65" i="1" s="1"/>
  <c r="N27" i="1"/>
  <c r="N65" i="1" s="1"/>
  <c r="M27" i="1"/>
  <c r="M65" i="1" s="1"/>
  <c r="L27" i="1"/>
  <c r="L65" i="1" s="1"/>
  <c r="K27" i="1"/>
  <c r="K65" i="1" s="1"/>
  <c r="J27" i="1"/>
  <c r="J65" i="1" s="1"/>
  <c r="I27" i="1"/>
  <c r="I65" i="1" s="1"/>
  <c r="G27" i="1"/>
  <c r="G65" i="1" s="1"/>
  <c r="F27" i="1"/>
  <c r="F65" i="1" s="1"/>
  <c r="E27" i="1"/>
  <c r="E65" i="1" s="1"/>
  <c r="D27" i="1"/>
  <c r="D65" i="1" s="1"/>
  <c r="C27" i="1"/>
  <c r="C65" i="1" s="1"/>
  <c r="B27" i="1"/>
  <c r="B65" i="1" s="1"/>
  <c r="AB14" i="1"/>
  <c r="AB64" i="1" s="1"/>
  <c r="AA14" i="1"/>
  <c r="AA64" i="1" s="1"/>
  <c r="Z14" i="1"/>
  <c r="Z64" i="1" s="1"/>
  <c r="Y14" i="1"/>
  <c r="Y64" i="1" s="1"/>
  <c r="X14" i="1"/>
  <c r="X64" i="1" s="1"/>
  <c r="W14" i="1"/>
  <c r="W64" i="1" s="1"/>
  <c r="U14" i="1"/>
  <c r="U64" i="1" s="1"/>
  <c r="T14" i="1"/>
  <c r="T64" i="1" s="1"/>
  <c r="S14" i="1"/>
  <c r="S64" i="1" s="1"/>
  <c r="R14" i="1"/>
  <c r="R64" i="1" s="1"/>
  <c r="Q14" i="1"/>
  <c r="Q64" i="1" s="1"/>
  <c r="P14" i="1"/>
  <c r="P64" i="1" s="1"/>
  <c r="N14" i="1"/>
  <c r="N64" i="1" s="1"/>
  <c r="M14" i="1"/>
  <c r="M64" i="1" s="1"/>
  <c r="L14" i="1"/>
  <c r="L64" i="1" s="1"/>
  <c r="K14" i="1"/>
  <c r="K64" i="1" s="1"/>
  <c r="J14" i="1"/>
  <c r="J64" i="1" s="1"/>
  <c r="I14" i="1"/>
  <c r="I64" i="1" s="1"/>
  <c r="C14" i="1"/>
  <c r="D14" i="1"/>
  <c r="D64" i="1" s="1"/>
  <c r="E14" i="1"/>
  <c r="E64" i="1" s="1"/>
  <c r="F14" i="1"/>
  <c r="G14" i="1"/>
  <c r="G64" i="1" s="1"/>
  <c r="B14" i="1"/>
  <c r="B64" i="1" s="1"/>
  <c r="AB52" i="1"/>
  <c r="AB60" i="1" s="1"/>
  <c r="AA52" i="1"/>
  <c r="AA60" i="1" s="1"/>
  <c r="Z52" i="1"/>
  <c r="Z60" i="1" s="1"/>
  <c r="Y52" i="1"/>
  <c r="Y60" i="1" s="1"/>
  <c r="X52" i="1"/>
  <c r="X60" i="1" s="1"/>
  <c r="W52" i="1"/>
  <c r="W60" i="1" s="1"/>
  <c r="U52" i="1"/>
  <c r="U60" i="1" s="1"/>
  <c r="T52" i="1"/>
  <c r="T60" i="1" s="1"/>
  <c r="S52" i="1"/>
  <c r="S60" i="1" s="1"/>
  <c r="R52" i="1"/>
  <c r="R60" i="1" s="1"/>
  <c r="Q52" i="1"/>
  <c r="Q60" i="1" s="1"/>
  <c r="P52" i="1"/>
  <c r="P60" i="1" s="1"/>
  <c r="N52" i="1"/>
  <c r="N60" i="1" s="1"/>
  <c r="M52" i="1"/>
  <c r="M60" i="1" s="1"/>
  <c r="L52" i="1"/>
  <c r="L60" i="1" s="1"/>
  <c r="K52" i="1"/>
  <c r="K60" i="1" s="1"/>
  <c r="J52" i="1"/>
  <c r="J60" i="1" s="1"/>
  <c r="I52" i="1"/>
  <c r="I60" i="1" s="1"/>
  <c r="G52" i="1"/>
  <c r="G60" i="1" s="1"/>
  <c r="F52" i="1"/>
  <c r="F60" i="1" s="1"/>
  <c r="E52" i="1"/>
  <c r="E60" i="1" s="1"/>
  <c r="D52" i="1"/>
  <c r="D60" i="1" s="1"/>
  <c r="C52" i="1"/>
  <c r="C60" i="1" s="1"/>
  <c r="B52" i="1"/>
  <c r="B60" i="1" s="1"/>
  <c r="AB39" i="1"/>
  <c r="AB59" i="1" s="1"/>
  <c r="AA39" i="1"/>
  <c r="AA59" i="1" s="1"/>
  <c r="Z39" i="1"/>
  <c r="Z59" i="1" s="1"/>
  <c r="Y39" i="1"/>
  <c r="Y59" i="1" s="1"/>
  <c r="X39" i="1"/>
  <c r="X59" i="1" s="1"/>
  <c r="W39" i="1"/>
  <c r="W59" i="1" s="1"/>
  <c r="U39" i="1"/>
  <c r="U59" i="1" s="1"/>
  <c r="T39" i="1"/>
  <c r="T59" i="1" s="1"/>
  <c r="S39" i="1"/>
  <c r="S59" i="1" s="1"/>
  <c r="R39" i="1"/>
  <c r="R59" i="1" s="1"/>
  <c r="Q39" i="1"/>
  <c r="Q59" i="1" s="1"/>
  <c r="P39" i="1"/>
  <c r="P59" i="1" s="1"/>
  <c r="N39" i="1"/>
  <c r="N59" i="1" s="1"/>
  <c r="M39" i="1"/>
  <c r="M59" i="1" s="1"/>
  <c r="L39" i="1"/>
  <c r="L59" i="1" s="1"/>
  <c r="K39" i="1"/>
  <c r="K59" i="1" s="1"/>
  <c r="J39" i="1"/>
  <c r="J59" i="1" s="1"/>
  <c r="I39" i="1"/>
  <c r="I59" i="1" s="1"/>
  <c r="G39" i="1"/>
  <c r="G59" i="1" s="1"/>
  <c r="F39" i="1"/>
  <c r="F59" i="1" s="1"/>
  <c r="E39" i="1"/>
  <c r="E59" i="1" s="1"/>
  <c r="D39" i="1"/>
  <c r="D59" i="1" s="1"/>
  <c r="C39" i="1"/>
  <c r="C59" i="1" s="1"/>
  <c r="B39" i="1"/>
  <c r="B59" i="1" s="1"/>
  <c r="AB26" i="1"/>
  <c r="AB58" i="1" s="1"/>
  <c r="AA26" i="1"/>
  <c r="AA58" i="1" s="1"/>
  <c r="Z26" i="1"/>
  <c r="Z58" i="1" s="1"/>
  <c r="Y26" i="1"/>
  <c r="Y58" i="1" s="1"/>
  <c r="X26" i="1"/>
  <c r="X58" i="1" s="1"/>
  <c r="W26" i="1"/>
  <c r="W58" i="1" s="1"/>
  <c r="U26" i="1"/>
  <c r="U58" i="1" s="1"/>
  <c r="T26" i="1"/>
  <c r="T58" i="1" s="1"/>
  <c r="S26" i="1"/>
  <c r="S58" i="1" s="1"/>
  <c r="R26" i="1"/>
  <c r="R58" i="1" s="1"/>
  <c r="Q26" i="1"/>
  <c r="Q58" i="1" s="1"/>
  <c r="P26" i="1"/>
  <c r="P58" i="1" s="1"/>
  <c r="N26" i="1"/>
  <c r="N58" i="1" s="1"/>
  <c r="M26" i="1"/>
  <c r="M58" i="1" s="1"/>
  <c r="L26" i="1"/>
  <c r="L58" i="1" s="1"/>
  <c r="K26" i="1"/>
  <c r="K58" i="1" s="1"/>
  <c r="J26" i="1"/>
  <c r="J58" i="1" s="1"/>
  <c r="I26" i="1"/>
  <c r="I58" i="1" s="1"/>
  <c r="G26" i="1"/>
  <c r="G58" i="1" s="1"/>
  <c r="F26" i="1"/>
  <c r="F58" i="1" s="1"/>
  <c r="E26" i="1"/>
  <c r="E58" i="1" s="1"/>
  <c r="D26" i="1"/>
  <c r="D58" i="1" s="1"/>
  <c r="C26" i="1"/>
  <c r="C58" i="1" s="1"/>
  <c r="B26" i="1"/>
  <c r="B58" i="1" s="1"/>
  <c r="AB13" i="1"/>
  <c r="AB57" i="1" s="1"/>
  <c r="AA13" i="1"/>
  <c r="AA57" i="1" s="1"/>
  <c r="Z13" i="1"/>
  <c r="Z57" i="1" s="1"/>
  <c r="Y13" i="1"/>
  <c r="Y57" i="1" s="1"/>
  <c r="X13" i="1"/>
  <c r="X57" i="1" s="1"/>
  <c r="W13" i="1"/>
  <c r="W57" i="1" s="1"/>
  <c r="U13" i="1"/>
  <c r="U57" i="1" s="1"/>
  <c r="T13" i="1"/>
  <c r="T57" i="1" s="1"/>
  <c r="S13" i="1"/>
  <c r="S57" i="1" s="1"/>
  <c r="R13" i="1"/>
  <c r="R57" i="1" s="1"/>
  <c r="Q13" i="1"/>
  <c r="Q57" i="1" s="1"/>
  <c r="P13" i="1"/>
  <c r="P57" i="1" s="1"/>
  <c r="N13" i="1"/>
  <c r="N57" i="1" s="1"/>
  <c r="M13" i="1"/>
  <c r="M57" i="1" s="1"/>
  <c r="L13" i="1"/>
  <c r="L57" i="1" s="1"/>
  <c r="K13" i="1"/>
  <c r="K57" i="1" s="1"/>
  <c r="J13" i="1"/>
  <c r="J57" i="1" s="1"/>
  <c r="I13" i="1"/>
  <c r="I57" i="1" s="1"/>
  <c r="C13" i="1"/>
  <c r="D13" i="1"/>
  <c r="D57" i="1" s="1"/>
  <c r="E13" i="1"/>
  <c r="E57" i="1" s="1"/>
  <c r="F13" i="1"/>
  <c r="G13" i="1"/>
  <c r="G57" i="1" s="1"/>
  <c r="B13" i="1"/>
  <c r="B57" i="1" s="1"/>
</calcChain>
</file>

<file path=xl/sharedStrings.xml><?xml version="1.0" encoding="utf-8"?>
<sst xmlns="http://schemas.openxmlformats.org/spreadsheetml/2006/main" count="36" uniqueCount="22">
  <si>
    <t>tarn = 2</t>
  </si>
  <si>
    <t>tanlen = 2</t>
  </si>
  <si>
    <t>carlin all</t>
  </si>
  <si>
    <t>carlin div</t>
  </si>
  <si>
    <t>tw all</t>
  </si>
  <si>
    <t>tw div</t>
  </si>
  <si>
    <t>tw triplet</t>
  </si>
  <si>
    <t>carlin triplet</t>
  </si>
  <si>
    <t>tanlen = 3</t>
  </si>
  <si>
    <t>tanlen = 4</t>
  </si>
  <si>
    <t>tanlen = 5</t>
  </si>
  <si>
    <t>tarn = 7</t>
  </si>
  <si>
    <t>tarn = 12</t>
  </si>
  <si>
    <t>tarn = 17</t>
  </si>
  <si>
    <t>avg</t>
  </si>
  <si>
    <t>max</t>
  </si>
  <si>
    <t>summary</t>
  </si>
  <si>
    <t>tarlen=2</t>
  </si>
  <si>
    <t>tarlen=3</t>
  </si>
  <si>
    <t>tarlen=4</t>
  </si>
  <si>
    <t>tarlen=5</t>
  </si>
  <si>
    <t>tarn=2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</si>
</sst>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RF vs Triplet Accuracy - Target</a:t>
            </a:r>
            <a:r>
              <a:rPr lang="en-US" baseline="0"/>
              <a:t> Length = 2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CARLIN RF All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Sheet1!$B$57:$B$60</c:f>
              <c:numCache>
                <c:formatCode>General</c:formatCode>
                <c:ptCount val="4"/>
                <c:pt idx="0">
                  <c:v>15.541069632008512</c:v>
                </c:pt>
                <c:pt idx="1">
                  <c:v>13.399762615689085</c:v>
                </c:pt>
                <c:pt idx="2">
                  <c:v>12.782212675543601</c:v>
                </c:pt>
                <c:pt idx="3">
                  <c:v>13.38073678926728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0E-4054-9A54-807A14FF0C20}"/>
            </c:ext>
          </c:extLst>
        </c:ser>
        <c:ser>
          <c:idx val="1"/>
          <c:order val="1"/>
          <c:tx>
            <c:v>CARLIN RF Dividing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Sheet1!$C$57:$C$60</c:f>
              <c:numCache>
                <c:formatCode>General</c:formatCode>
                <c:ptCount val="4"/>
                <c:pt idx="0">
                  <c:v>16.507936507936495</c:v>
                </c:pt>
                <c:pt idx="1">
                  <c:v>16.349206349206359</c:v>
                </c:pt>
                <c:pt idx="2">
                  <c:v>15.158730158730151</c:v>
                </c:pt>
                <c:pt idx="3">
                  <c:v>14.603174603174589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0E-4054-9A54-807A14FF0C20}"/>
            </c:ext>
          </c:extLst>
        </c:ser>
        <c:ser>
          <c:idx val="2"/>
          <c:order val="2"/>
          <c:tx>
            <c:v>Typewriter RF All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Sheet1!$D$57:$D$60</c:f>
              <c:numCache>
                <c:formatCode>General</c:formatCode>
                <c:ptCount val="4"/>
                <c:pt idx="0">
                  <c:v>22.173737059047571</c:v>
                </c:pt>
                <c:pt idx="1">
                  <c:v>25.697043042892659</c:v>
                </c:pt>
                <c:pt idx="2">
                  <c:v>29.102166185798431</c:v>
                </c:pt>
                <c:pt idx="3">
                  <c:v>28.230996997086169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60E-4054-9A54-807A14FF0C20}"/>
            </c:ext>
          </c:extLst>
        </c:ser>
        <c:ser>
          <c:idx val="3"/>
          <c:order val="3"/>
          <c:tx>
            <c:v>Typewriter RF Dividing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Sheet1!$E$57:$E$60</c:f>
              <c:numCache>
                <c:formatCode>General</c:formatCode>
                <c:ptCount val="4"/>
                <c:pt idx="0">
                  <c:v>11.428571428571432</c:v>
                </c:pt>
                <c:pt idx="1">
                  <c:v>29.920634920634917</c:v>
                </c:pt>
                <c:pt idx="2">
                  <c:v>38.015873015873048</c:v>
                </c:pt>
                <c:pt idx="3">
                  <c:v>38.492063492063487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60E-4054-9A54-807A14FF0C20}"/>
            </c:ext>
          </c:extLst>
        </c:ser>
        <c:ser>
          <c:idx val="4"/>
          <c:order val="4"/>
          <c:tx>
            <c:v>CARLIN Triplet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Sheet1!$F$57:$F$60</c:f>
              <c:numCache>
                <c:formatCode>General</c:formatCode>
                <c:ptCount val="4"/>
                <c:pt idx="0">
                  <c:v>51.093808586426704</c:v>
                </c:pt>
                <c:pt idx="1">
                  <c:v>59.199123547056615</c:v>
                </c:pt>
                <c:pt idx="2">
                  <c:v>54.982804883764537</c:v>
                </c:pt>
                <c:pt idx="3">
                  <c:v>60.547314398200214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60E-4054-9A54-807A14FF0C20}"/>
            </c:ext>
          </c:extLst>
        </c:ser>
        <c:ser>
          <c:idx val="5"/>
          <c:order val="5"/>
          <c:tx>
            <c:v>Typewriter Triplet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Sheet1!$G$57:$G$60</c:f>
              <c:numCache>
                <c:formatCode>General</c:formatCode>
                <c:ptCount val="4"/>
                <c:pt idx="0">
                  <c:v>34.557291666666671</c:v>
                </c:pt>
                <c:pt idx="1">
                  <c:v>61.838354190101242</c:v>
                </c:pt>
                <c:pt idx="2">
                  <c:v>79.17264248218973</c:v>
                </c:pt>
                <c:pt idx="3">
                  <c:v>76.672906121109861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60E-4054-9A54-807A14FF0C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8205264"/>
        <c:axId val="488208144"/>
      </c:barChart>
      <c:catAx>
        <c:axId val="48820526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88208144"/>
        <c:crosses val="autoZero"/>
        <c:auto val="1"/>
        <c:lblAlgn val="ctr"/>
        <c:lblOffset val="100"/>
        <c:noMultiLvlLbl val="0"/>
      </c:catAx>
      <c:valAx>
        <c:axId val="488208144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205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0095144356955384E-2"/>
          <c:y val="0.87134608173978256"/>
          <c:w val="0.80869860017497819"/>
          <c:h val="0.1051020750065816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RF vs Triplet Accuracy - Target</a:t>
            </a:r>
            <a:r>
              <a:rPr lang="en-US" baseline="0"/>
              <a:t> Length = 3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CARLIN RF All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Sheet1!$I$57:$I$60</c:f>
              <c:numCache>
                <c:formatCode>General</c:formatCode>
                <c:ptCount val="4"/>
                <c:pt idx="0">
                  <c:v>15.804893544188038</c:v>
                </c:pt>
                <c:pt idx="1">
                  <c:v>11.292422822987429</c:v>
                </c:pt>
                <c:pt idx="2">
                  <c:v>13.490866314819732</c:v>
                </c:pt>
                <c:pt idx="3">
                  <c:v>14.085827212816142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C8-4C70-9978-B8239B66177A}"/>
            </c:ext>
          </c:extLst>
        </c:ser>
        <c:ser>
          <c:idx val="1"/>
          <c:order val="1"/>
          <c:tx>
            <c:v>CARLIN RF Dividing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Sheet1!$J$57:$J$60</c:f>
              <c:numCache>
                <c:formatCode>General</c:formatCode>
                <c:ptCount val="4"/>
                <c:pt idx="0">
                  <c:v>19.285714285714288</c:v>
                </c:pt>
                <c:pt idx="1">
                  <c:v>14.206349206349207</c:v>
                </c:pt>
                <c:pt idx="2">
                  <c:v>16.031746031746039</c:v>
                </c:pt>
                <c:pt idx="3">
                  <c:v>17.06349206349206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C8-4C70-9978-B8239B66177A}"/>
            </c:ext>
          </c:extLst>
        </c:ser>
        <c:ser>
          <c:idx val="2"/>
          <c:order val="2"/>
          <c:tx>
            <c:v>Typewriter RF All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Sheet1!$K$57:$K$60</c:f>
              <c:numCache>
                <c:formatCode>General</c:formatCode>
                <c:ptCount val="4"/>
                <c:pt idx="0">
                  <c:v>25.993240049572989</c:v>
                </c:pt>
                <c:pt idx="1">
                  <c:v>31.812625227909841</c:v>
                </c:pt>
                <c:pt idx="2">
                  <c:v>35.427192764722761</c:v>
                </c:pt>
                <c:pt idx="3">
                  <c:v>35.201363186562503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6C8-4C70-9978-B8239B66177A}"/>
            </c:ext>
          </c:extLst>
        </c:ser>
        <c:ser>
          <c:idx val="3"/>
          <c:order val="3"/>
          <c:tx>
            <c:v>Typewriter RF Dividing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Sheet1!$L$57:$L$60</c:f>
              <c:numCache>
                <c:formatCode>General</c:formatCode>
                <c:ptCount val="4"/>
                <c:pt idx="0">
                  <c:v>12.777777777777786</c:v>
                </c:pt>
                <c:pt idx="1">
                  <c:v>36.190476190476197</c:v>
                </c:pt>
                <c:pt idx="2">
                  <c:v>43.253968253968274</c:v>
                </c:pt>
                <c:pt idx="3">
                  <c:v>44.761904761904759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6C8-4C70-9978-B8239B66177A}"/>
            </c:ext>
          </c:extLst>
        </c:ser>
        <c:ser>
          <c:idx val="4"/>
          <c:order val="4"/>
          <c:tx>
            <c:v>CARLIN Triplet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Sheet1!$M$57:$M$60</c:f>
              <c:numCache>
                <c:formatCode>General</c:formatCode>
                <c:ptCount val="4"/>
                <c:pt idx="0">
                  <c:v>53.992430633670793</c:v>
                </c:pt>
                <c:pt idx="1">
                  <c:v>62.561398575178103</c:v>
                </c:pt>
                <c:pt idx="2">
                  <c:v>58.035479940007505</c:v>
                </c:pt>
                <c:pt idx="3">
                  <c:v>57.510428383952004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6C8-4C70-9978-B8239B66177A}"/>
            </c:ext>
          </c:extLst>
        </c:ser>
        <c:ser>
          <c:idx val="5"/>
          <c:order val="5"/>
          <c:tx>
            <c:v>Typewriter Triplet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Sheet1!$N$57:$N$60</c:f>
              <c:numCache>
                <c:formatCode>General</c:formatCode>
                <c:ptCount val="4"/>
                <c:pt idx="0">
                  <c:v>25.868104377577811</c:v>
                </c:pt>
                <c:pt idx="1">
                  <c:v>58.792885264341962</c:v>
                </c:pt>
                <c:pt idx="2">
                  <c:v>77.669783464566919</c:v>
                </c:pt>
                <c:pt idx="3">
                  <c:v>72.019327662167214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6C8-4C70-9978-B8239B6617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8205264"/>
        <c:axId val="488208144"/>
      </c:barChart>
      <c:catAx>
        <c:axId val="48820526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88208144"/>
        <c:crosses val="autoZero"/>
        <c:auto val="1"/>
        <c:lblAlgn val="ctr"/>
        <c:lblOffset val="100"/>
        <c:noMultiLvlLbl val="0"/>
      </c:catAx>
      <c:valAx>
        <c:axId val="488208144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205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0095144356955384E-2"/>
          <c:y val="0.87134608173978256"/>
          <c:w val="0.80869860017497819"/>
          <c:h val="0.1051020750065816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RF vs Triplet Accuracy - Target</a:t>
            </a:r>
            <a:r>
              <a:rPr lang="en-US" baseline="0"/>
              <a:t> Length = 4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CARLIN RF All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Sheet1!$P$57:$P$60</c:f>
              <c:numCache>
                <c:formatCode>General</c:formatCode>
                <c:ptCount val="4"/>
                <c:pt idx="0">
                  <c:v>12.307335334578397</c:v>
                </c:pt>
                <c:pt idx="1">
                  <c:v>15.532492807091703</c:v>
                </c:pt>
                <c:pt idx="2">
                  <c:v>14.311399099362529</c:v>
                </c:pt>
                <c:pt idx="3">
                  <c:v>13.699146758874786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0B-4C62-ACFD-3B3B65176DBA}"/>
            </c:ext>
          </c:extLst>
        </c:ser>
        <c:ser>
          <c:idx val="1"/>
          <c:order val="1"/>
          <c:tx>
            <c:v>CARLIN RF Dividing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Sheet1!$Q$57:$Q$60</c:f>
              <c:numCache>
                <c:formatCode>General</c:formatCode>
                <c:ptCount val="4"/>
                <c:pt idx="0">
                  <c:v>14.36507936507935</c:v>
                </c:pt>
                <c:pt idx="1">
                  <c:v>18.968253968253968</c:v>
                </c:pt>
                <c:pt idx="2">
                  <c:v>16.904761904761923</c:v>
                </c:pt>
                <c:pt idx="3">
                  <c:v>16.825396825396844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0B-4C62-ACFD-3B3B65176DBA}"/>
            </c:ext>
          </c:extLst>
        </c:ser>
        <c:ser>
          <c:idx val="2"/>
          <c:order val="2"/>
          <c:tx>
            <c:v>Typewriter RF All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Sheet1!$R$57:$R$60</c:f>
              <c:numCache>
                <c:formatCode>General</c:formatCode>
                <c:ptCount val="4"/>
                <c:pt idx="0">
                  <c:v>29.152653565095143</c:v>
                </c:pt>
                <c:pt idx="1">
                  <c:v>34.526176009559961</c:v>
                </c:pt>
                <c:pt idx="2">
                  <c:v>40.337810222198691</c:v>
                </c:pt>
                <c:pt idx="3">
                  <c:v>39.756659314119545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90B-4C62-ACFD-3B3B65176DBA}"/>
            </c:ext>
          </c:extLst>
        </c:ser>
        <c:ser>
          <c:idx val="3"/>
          <c:order val="3"/>
          <c:tx>
            <c:v>Typewriter RF Dividing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Sheet1!$S$57:$S$60</c:f>
              <c:numCache>
                <c:formatCode>General</c:formatCode>
                <c:ptCount val="4"/>
                <c:pt idx="0">
                  <c:v>12.222222222222232</c:v>
                </c:pt>
                <c:pt idx="1">
                  <c:v>37.142857142857139</c:v>
                </c:pt>
                <c:pt idx="2">
                  <c:v>45.158730158730158</c:v>
                </c:pt>
                <c:pt idx="3">
                  <c:v>47.698412698412696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90B-4C62-ACFD-3B3B65176DBA}"/>
            </c:ext>
          </c:extLst>
        </c:ser>
        <c:ser>
          <c:idx val="4"/>
          <c:order val="4"/>
          <c:tx>
            <c:v>CARLIN Triplet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Sheet1!$T$57:$T$60</c:f>
              <c:numCache>
                <c:formatCode>General</c:formatCode>
                <c:ptCount val="4"/>
                <c:pt idx="0">
                  <c:v>58.081587457817797</c:v>
                </c:pt>
                <c:pt idx="1">
                  <c:v>52.569688554555661</c:v>
                </c:pt>
                <c:pt idx="2">
                  <c:v>52.171974596925395</c:v>
                </c:pt>
                <c:pt idx="3">
                  <c:v>61.300970191226114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90B-4C62-ACFD-3B3B65176DBA}"/>
            </c:ext>
          </c:extLst>
        </c:ser>
        <c:ser>
          <c:idx val="5"/>
          <c:order val="5"/>
          <c:tx>
            <c:v>Typewriter Triplet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Sheet1!$U$57:$U$60</c:f>
              <c:numCache>
                <c:formatCode>General</c:formatCode>
                <c:ptCount val="4"/>
                <c:pt idx="0">
                  <c:v>44.507874015748044</c:v>
                </c:pt>
                <c:pt idx="1">
                  <c:v>61.473800149981251</c:v>
                </c:pt>
                <c:pt idx="2">
                  <c:v>59.781912026621661</c:v>
                </c:pt>
                <c:pt idx="3">
                  <c:v>66.596773059617547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90B-4C62-ACFD-3B3B65176D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8205264"/>
        <c:axId val="488208144"/>
      </c:barChart>
      <c:catAx>
        <c:axId val="48820526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88208144"/>
        <c:crosses val="autoZero"/>
        <c:auto val="1"/>
        <c:lblAlgn val="ctr"/>
        <c:lblOffset val="100"/>
        <c:noMultiLvlLbl val="0"/>
      </c:catAx>
      <c:valAx>
        <c:axId val="488208144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205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0095144356955384E-2"/>
          <c:y val="0.87134608173978256"/>
          <c:w val="0.80869860017497819"/>
          <c:h val="0.1051020750065816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RF vs Triplet Accuracy - Target</a:t>
            </a:r>
            <a:r>
              <a:rPr lang="en-US" baseline="0"/>
              <a:t> Length = 5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CARLIN RF All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Sheet1!$W$57:$W$60</c:f>
              <c:numCache>
                <c:formatCode>General</c:formatCode>
                <c:ptCount val="4"/>
                <c:pt idx="0">
                  <c:v>14.066843379018479</c:v>
                </c:pt>
                <c:pt idx="1">
                  <c:v>13.040658040759689</c:v>
                </c:pt>
                <c:pt idx="2">
                  <c:v>13.142493648860599</c:v>
                </c:pt>
                <c:pt idx="3">
                  <c:v>14.237603024318911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7F-4E64-9677-97E808C2CAA9}"/>
            </c:ext>
          </c:extLst>
        </c:ser>
        <c:ser>
          <c:idx val="1"/>
          <c:order val="1"/>
          <c:tx>
            <c:v>CARLIN RF Dividing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Sheet1!$X$57:$X$60</c:f>
              <c:numCache>
                <c:formatCode>General</c:formatCode>
                <c:ptCount val="4"/>
                <c:pt idx="0">
                  <c:v>16.111111111111093</c:v>
                </c:pt>
                <c:pt idx="1">
                  <c:v>16.111111111111121</c:v>
                </c:pt>
                <c:pt idx="2">
                  <c:v>15.396825396825397</c:v>
                </c:pt>
                <c:pt idx="3">
                  <c:v>15.555555555555546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7F-4E64-9677-97E808C2CAA9}"/>
            </c:ext>
          </c:extLst>
        </c:ser>
        <c:ser>
          <c:idx val="2"/>
          <c:order val="2"/>
          <c:tx>
            <c:v>Typewriter RF All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Sheet1!$Y$57:$Y$60</c:f>
              <c:numCache>
                <c:formatCode>General</c:formatCode>
                <c:ptCount val="4"/>
                <c:pt idx="0">
                  <c:v>29.39423758904119</c:v>
                </c:pt>
                <c:pt idx="1">
                  <c:v>35.887647260129867</c:v>
                </c:pt>
                <c:pt idx="2">
                  <c:v>34.579059395618437</c:v>
                </c:pt>
                <c:pt idx="3">
                  <c:v>33.272149098534911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17F-4E64-9677-97E808C2CAA9}"/>
            </c:ext>
          </c:extLst>
        </c:ser>
        <c:ser>
          <c:idx val="3"/>
          <c:order val="3"/>
          <c:tx>
            <c:v>Typewriter RF Dividing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Sheet1!$Z$57:$Z$60</c:f>
              <c:numCache>
                <c:formatCode>General</c:formatCode>
                <c:ptCount val="4"/>
                <c:pt idx="0">
                  <c:v>13.015873015873018</c:v>
                </c:pt>
                <c:pt idx="1">
                  <c:v>39.36507936507936</c:v>
                </c:pt>
                <c:pt idx="2">
                  <c:v>42.380952380952387</c:v>
                </c:pt>
                <c:pt idx="3">
                  <c:v>41.746031746031747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17F-4E64-9677-97E808C2CAA9}"/>
            </c:ext>
          </c:extLst>
        </c:ser>
        <c:ser>
          <c:idx val="4"/>
          <c:order val="4"/>
          <c:tx>
            <c:v>CARLIN Triplet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Sheet1!$AA$57:$AA$60</c:f>
              <c:numCache>
                <c:formatCode>General</c:formatCode>
                <c:ptCount val="4"/>
                <c:pt idx="0">
                  <c:v>51.333163432695912</c:v>
                </c:pt>
                <c:pt idx="1">
                  <c:v>61.362720284964396</c:v>
                </c:pt>
                <c:pt idx="2">
                  <c:v>56.952129030746164</c:v>
                </c:pt>
                <c:pt idx="3">
                  <c:v>59.736976237345324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17F-4E64-9677-97E808C2CAA9}"/>
            </c:ext>
          </c:extLst>
        </c:ser>
        <c:ser>
          <c:idx val="5"/>
          <c:order val="5"/>
          <c:tx>
            <c:v>Typewriter Triplet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Sheet1!$AB$57:$AB$60</c:f>
              <c:numCache>
                <c:formatCode>General</c:formatCode>
                <c:ptCount val="4"/>
                <c:pt idx="0">
                  <c:v>42.572617875890515</c:v>
                </c:pt>
                <c:pt idx="1">
                  <c:v>58.748593925759295</c:v>
                </c:pt>
                <c:pt idx="2">
                  <c:v>76.253310133108371</c:v>
                </c:pt>
                <c:pt idx="3">
                  <c:v>67.374771512935894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17F-4E64-9677-97E808C2CA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8205264"/>
        <c:axId val="488208144"/>
      </c:barChart>
      <c:catAx>
        <c:axId val="48820526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88208144"/>
        <c:crosses val="autoZero"/>
        <c:auto val="1"/>
        <c:lblAlgn val="ctr"/>
        <c:lblOffset val="100"/>
        <c:noMultiLvlLbl val="0"/>
      </c:catAx>
      <c:valAx>
        <c:axId val="488208144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205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0095144356955384E-2"/>
          <c:y val="0.87134608173978256"/>
          <c:w val="0.80869860017497819"/>
          <c:h val="0.1051020750065816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RF vs Triplet Accuracy - Target</a:t>
            </a:r>
            <a:r>
              <a:rPr lang="en-US" baseline="0"/>
              <a:t> Length = 2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CARLIN RF All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Sheet1!$B$64:$B$67</c:f>
              <c:numCache>
                <c:formatCode>General</c:formatCode>
                <c:ptCount val="4"/>
                <c:pt idx="0">
                  <c:v>25.2293577981651</c:v>
                </c:pt>
                <c:pt idx="1">
                  <c:v>17.511520737327199</c:v>
                </c:pt>
                <c:pt idx="2">
                  <c:v>19.4570135746606</c:v>
                </c:pt>
                <c:pt idx="3">
                  <c:v>18.433179723502299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81-4B2D-B380-297963E875B2}"/>
            </c:ext>
          </c:extLst>
        </c:ser>
        <c:ser>
          <c:idx val="1"/>
          <c:order val="1"/>
          <c:tx>
            <c:v>CARLIN RF Dividing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Sheet1!$C$64:$C$67</c:f>
              <c:numCache>
                <c:formatCode>General</c:formatCode>
                <c:ptCount val="4"/>
                <c:pt idx="0">
                  <c:v>24.603174603174601</c:v>
                </c:pt>
                <c:pt idx="1">
                  <c:v>21.428571428571399</c:v>
                </c:pt>
                <c:pt idx="2">
                  <c:v>23.015873015873002</c:v>
                </c:pt>
                <c:pt idx="3">
                  <c:v>21.428571428571399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81-4B2D-B380-297963E875B2}"/>
            </c:ext>
          </c:extLst>
        </c:ser>
        <c:ser>
          <c:idx val="2"/>
          <c:order val="2"/>
          <c:tx>
            <c:v>Typewriter RF All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Sheet1!$D$64:$D$67</c:f>
              <c:numCache>
                <c:formatCode>General</c:formatCode>
                <c:ptCount val="4"/>
                <c:pt idx="0">
                  <c:v>30.4932735426009</c:v>
                </c:pt>
                <c:pt idx="1">
                  <c:v>33.035714285714299</c:v>
                </c:pt>
                <c:pt idx="2">
                  <c:v>42.592592592592602</c:v>
                </c:pt>
                <c:pt idx="3">
                  <c:v>38.5321100917431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781-4B2D-B380-297963E875B2}"/>
            </c:ext>
          </c:extLst>
        </c:ser>
        <c:ser>
          <c:idx val="3"/>
          <c:order val="3"/>
          <c:tx>
            <c:v>Typewriter RF Dividing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Sheet1!$E$64:$E$67</c:f>
              <c:numCache>
                <c:formatCode>General</c:formatCode>
                <c:ptCount val="4"/>
                <c:pt idx="0">
                  <c:v>16.6666666666667</c:v>
                </c:pt>
                <c:pt idx="1">
                  <c:v>41.269841269841301</c:v>
                </c:pt>
                <c:pt idx="2">
                  <c:v>53.968253968253997</c:v>
                </c:pt>
                <c:pt idx="3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781-4B2D-B380-297963E875B2}"/>
            </c:ext>
          </c:extLst>
        </c:ser>
        <c:ser>
          <c:idx val="4"/>
          <c:order val="4"/>
          <c:tx>
            <c:v>CARLIN Triplet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Sheet1!$F$64:$F$67</c:f>
              <c:numCache>
                <c:formatCode>General</c:formatCode>
                <c:ptCount val="4"/>
                <c:pt idx="0">
                  <c:v>64.171470753655797</c:v>
                </c:pt>
                <c:pt idx="1">
                  <c:v>80.538467847768999</c:v>
                </c:pt>
                <c:pt idx="2">
                  <c:v>81.334950318710199</c:v>
                </c:pt>
                <c:pt idx="3">
                  <c:v>79.307859955005597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781-4B2D-B380-297963E875B2}"/>
            </c:ext>
          </c:extLst>
        </c:ser>
        <c:ser>
          <c:idx val="5"/>
          <c:order val="5"/>
          <c:tx>
            <c:v>Typewriter Triplet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Sheet1!$G$64:$G$67</c:f>
              <c:numCache>
                <c:formatCode>General</c:formatCode>
                <c:ptCount val="4"/>
                <c:pt idx="0">
                  <c:v>42.357693569553803</c:v>
                </c:pt>
                <c:pt idx="1">
                  <c:v>92.474866422947102</c:v>
                </c:pt>
                <c:pt idx="2">
                  <c:v>99.316882264716895</c:v>
                </c:pt>
                <c:pt idx="3">
                  <c:v>98.926696662917095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781-4B2D-B380-297963E875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8205264"/>
        <c:axId val="488208144"/>
      </c:barChart>
      <c:catAx>
        <c:axId val="48820526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88208144"/>
        <c:crosses val="autoZero"/>
        <c:auto val="1"/>
        <c:lblAlgn val="ctr"/>
        <c:lblOffset val="100"/>
        <c:noMultiLvlLbl val="0"/>
      </c:catAx>
      <c:valAx>
        <c:axId val="488208144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205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0095144356955384E-2"/>
          <c:y val="0.87134608173978256"/>
          <c:w val="0.80869860017497819"/>
          <c:h val="0.1051020750065816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RF vs Triplet Accuracy - Target</a:t>
            </a:r>
            <a:r>
              <a:rPr lang="en-US" baseline="0"/>
              <a:t> Length = 3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CARLIN RF All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Sheet1!$I$64:$I$67</c:f>
              <c:numCache>
                <c:formatCode>General</c:formatCode>
                <c:ptCount val="4"/>
                <c:pt idx="0">
                  <c:v>23.148148148148099</c:v>
                </c:pt>
                <c:pt idx="1">
                  <c:v>16.5898617511521</c:v>
                </c:pt>
                <c:pt idx="2">
                  <c:v>19.5555555555556</c:v>
                </c:pt>
                <c:pt idx="3">
                  <c:v>22.831050228310499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29-469C-8533-4F9A50243109}"/>
            </c:ext>
          </c:extLst>
        </c:ser>
        <c:ser>
          <c:idx val="1"/>
          <c:order val="1"/>
          <c:tx>
            <c:v>CARLIN RF Dividing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Sheet1!$J$64:$J$67</c:f>
              <c:numCache>
                <c:formatCode>General</c:formatCode>
                <c:ptCount val="4"/>
                <c:pt idx="0">
                  <c:v>26.984126984126998</c:v>
                </c:pt>
                <c:pt idx="1">
                  <c:v>19.047619047619001</c:v>
                </c:pt>
                <c:pt idx="2">
                  <c:v>21.428571428571399</c:v>
                </c:pt>
                <c:pt idx="3">
                  <c:v>25.396825396825399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29-469C-8533-4F9A50243109}"/>
            </c:ext>
          </c:extLst>
        </c:ser>
        <c:ser>
          <c:idx val="2"/>
          <c:order val="2"/>
          <c:tx>
            <c:v>Typewriter RF All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Sheet1!$K$64:$K$67</c:f>
              <c:numCache>
                <c:formatCode>General</c:formatCode>
                <c:ptCount val="4"/>
                <c:pt idx="0">
                  <c:v>34.545454545454497</c:v>
                </c:pt>
                <c:pt idx="1">
                  <c:v>42.009132420091298</c:v>
                </c:pt>
                <c:pt idx="2">
                  <c:v>45.145631067961197</c:v>
                </c:pt>
                <c:pt idx="3">
                  <c:v>42.792792792792802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229-469C-8533-4F9A50243109}"/>
            </c:ext>
          </c:extLst>
        </c:ser>
        <c:ser>
          <c:idx val="3"/>
          <c:order val="3"/>
          <c:tx>
            <c:v>Typewriter RF Dividing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Sheet1!$L$64:$L$67</c:f>
              <c:numCache>
                <c:formatCode>General</c:formatCode>
                <c:ptCount val="4"/>
                <c:pt idx="0">
                  <c:v>18.253968253968299</c:v>
                </c:pt>
                <c:pt idx="1">
                  <c:v>47.619047619047599</c:v>
                </c:pt>
                <c:pt idx="2">
                  <c:v>55.5555555555556</c:v>
                </c:pt>
                <c:pt idx="3">
                  <c:v>50.793650793650798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229-469C-8533-4F9A50243109}"/>
            </c:ext>
          </c:extLst>
        </c:ser>
        <c:ser>
          <c:idx val="4"/>
          <c:order val="4"/>
          <c:tx>
            <c:v>CARLIN Triplet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Sheet1!$M$64:$M$67</c:f>
              <c:numCache>
                <c:formatCode>General</c:formatCode>
                <c:ptCount val="4"/>
                <c:pt idx="0">
                  <c:v>76.356275778027793</c:v>
                </c:pt>
                <c:pt idx="1">
                  <c:v>85.634315241844803</c:v>
                </c:pt>
                <c:pt idx="2">
                  <c:v>75.091980689913797</c:v>
                </c:pt>
                <c:pt idx="3">
                  <c:v>91.763627202849605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229-469C-8533-4F9A50243109}"/>
            </c:ext>
          </c:extLst>
        </c:ser>
        <c:ser>
          <c:idx val="5"/>
          <c:order val="5"/>
          <c:tx>
            <c:v>Typewriter Triplet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Sheet1!$N$64:$N$67</c:f>
              <c:numCache>
                <c:formatCode>General</c:formatCode>
                <c:ptCount val="4"/>
                <c:pt idx="0">
                  <c:v>51.8899981252343</c:v>
                </c:pt>
                <c:pt idx="1">
                  <c:v>84.575951443569593</c:v>
                </c:pt>
                <c:pt idx="2">
                  <c:v>98.400883483314601</c:v>
                </c:pt>
                <c:pt idx="3">
                  <c:v>98.225124203224595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229-469C-8533-4F9A502431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8205264"/>
        <c:axId val="488208144"/>
      </c:barChart>
      <c:catAx>
        <c:axId val="48820526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88208144"/>
        <c:crosses val="autoZero"/>
        <c:auto val="1"/>
        <c:lblAlgn val="ctr"/>
        <c:lblOffset val="100"/>
        <c:noMultiLvlLbl val="0"/>
      </c:catAx>
      <c:valAx>
        <c:axId val="488208144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205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0095144356955384E-2"/>
          <c:y val="0.87134608173978256"/>
          <c:w val="0.80869860017497819"/>
          <c:h val="0.1051020750065816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RF vs Triplet Accuracy - Target</a:t>
            </a:r>
            <a:r>
              <a:rPr lang="en-US" baseline="0"/>
              <a:t> Length = 4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CARLIN RF All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Sheet1!$P$64:$P$67</c:f>
              <c:numCache>
                <c:formatCode>General</c:formatCode>
                <c:ptCount val="4"/>
                <c:pt idx="0">
                  <c:v>19.4444444444444</c:v>
                </c:pt>
                <c:pt idx="1">
                  <c:v>25.700934579439199</c:v>
                </c:pt>
                <c:pt idx="2">
                  <c:v>22.2222222222222</c:v>
                </c:pt>
                <c:pt idx="3">
                  <c:v>19.634703196347001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72-4657-8230-8CE0A46BA5FB}"/>
            </c:ext>
          </c:extLst>
        </c:ser>
        <c:ser>
          <c:idx val="1"/>
          <c:order val="1"/>
          <c:tx>
            <c:v>CARLIN RF Dividing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Sheet1!$Q$64:$Q$67</c:f>
              <c:numCache>
                <c:formatCode>General</c:formatCode>
                <c:ptCount val="4"/>
                <c:pt idx="0">
                  <c:v>22.2222222222222</c:v>
                </c:pt>
                <c:pt idx="1">
                  <c:v>27.7777777777778</c:v>
                </c:pt>
                <c:pt idx="2">
                  <c:v>28.571428571428601</c:v>
                </c:pt>
                <c:pt idx="3">
                  <c:v>22.2222222222222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72-4657-8230-8CE0A46BA5FB}"/>
            </c:ext>
          </c:extLst>
        </c:ser>
        <c:ser>
          <c:idx val="2"/>
          <c:order val="2"/>
          <c:tx>
            <c:v>Typewriter RF All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Sheet1!$R$64:$R$67</c:f>
              <c:numCache>
                <c:formatCode>General</c:formatCode>
                <c:ptCount val="4"/>
                <c:pt idx="0">
                  <c:v>36.238532110091697</c:v>
                </c:pt>
                <c:pt idx="1">
                  <c:v>45.754716981132098</c:v>
                </c:pt>
                <c:pt idx="2">
                  <c:v>55.868544600939003</c:v>
                </c:pt>
                <c:pt idx="3">
                  <c:v>55.045871559632999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B72-4657-8230-8CE0A46BA5FB}"/>
            </c:ext>
          </c:extLst>
        </c:ser>
        <c:ser>
          <c:idx val="3"/>
          <c:order val="3"/>
          <c:tx>
            <c:v>Typewriter RF Dividing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Sheet1!$S$64:$S$67</c:f>
              <c:numCache>
                <c:formatCode>General</c:formatCode>
                <c:ptCount val="4"/>
                <c:pt idx="0">
                  <c:v>18.253968253968299</c:v>
                </c:pt>
                <c:pt idx="1">
                  <c:v>44.4444444444444</c:v>
                </c:pt>
                <c:pt idx="2">
                  <c:v>64.285714285714306</c:v>
                </c:pt>
                <c:pt idx="3">
                  <c:v>63.492063492063501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B72-4657-8230-8CE0A46BA5FB}"/>
            </c:ext>
          </c:extLst>
        </c:ser>
        <c:ser>
          <c:idx val="4"/>
          <c:order val="4"/>
          <c:tx>
            <c:v>CARLIN Triplet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Sheet1!$T$64:$T$67</c:f>
              <c:numCache>
                <c:formatCode>General</c:formatCode>
                <c:ptCount val="4"/>
                <c:pt idx="0">
                  <c:v>77.264365391826004</c:v>
                </c:pt>
                <c:pt idx="1">
                  <c:v>65.877214566929098</c:v>
                </c:pt>
                <c:pt idx="2">
                  <c:v>82.279656449193894</c:v>
                </c:pt>
                <c:pt idx="3">
                  <c:v>85.739477877765296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B72-4657-8230-8CE0A46BA5FB}"/>
            </c:ext>
          </c:extLst>
        </c:ser>
        <c:ser>
          <c:idx val="5"/>
          <c:order val="5"/>
          <c:tx>
            <c:v>Typewriter Triplet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Sheet1!$U$64:$U$67</c:f>
              <c:numCache>
                <c:formatCode>General</c:formatCode>
                <c:ptCount val="4"/>
                <c:pt idx="0">
                  <c:v>79.212949943756996</c:v>
                </c:pt>
                <c:pt idx="1">
                  <c:v>96.123629077615306</c:v>
                </c:pt>
                <c:pt idx="2">
                  <c:v>91.984205099362597</c:v>
                </c:pt>
                <c:pt idx="3">
                  <c:v>97.122527652793394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B72-4657-8230-8CE0A46BA5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8205264"/>
        <c:axId val="488208144"/>
      </c:barChart>
      <c:catAx>
        <c:axId val="48820526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88208144"/>
        <c:crosses val="autoZero"/>
        <c:auto val="1"/>
        <c:lblAlgn val="ctr"/>
        <c:lblOffset val="100"/>
        <c:noMultiLvlLbl val="0"/>
      </c:catAx>
      <c:valAx>
        <c:axId val="488208144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 &amp;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205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0095144356955384E-2"/>
          <c:y val="0.87134608173978256"/>
          <c:w val="0.80869860017497819"/>
          <c:h val="0.1051020750065816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RF vs Triplet Accuracy - Target</a:t>
            </a:r>
            <a:r>
              <a:rPr lang="en-US" baseline="0"/>
              <a:t> Length = 5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CARLIN RF All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Sheet1!$W$64:$W$67</c:f>
              <c:numCache>
                <c:formatCode>General</c:formatCode>
                <c:ptCount val="4"/>
                <c:pt idx="0">
                  <c:v>20.3619909502262</c:v>
                </c:pt>
                <c:pt idx="1">
                  <c:v>15.5963302752294</c:v>
                </c:pt>
                <c:pt idx="2">
                  <c:v>23.287671232876701</c:v>
                </c:pt>
                <c:pt idx="3">
                  <c:v>20.642201834862401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16-4CD1-8CCF-079FD25BB3D6}"/>
            </c:ext>
          </c:extLst>
        </c:ser>
        <c:ser>
          <c:idx val="1"/>
          <c:order val="1"/>
          <c:tx>
            <c:v>CARLIN RF Dividing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Sheet1!$X$64:$X$67</c:f>
              <c:numCache>
                <c:formatCode>General</c:formatCode>
                <c:ptCount val="4"/>
                <c:pt idx="0">
                  <c:v>24.603174603174601</c:v>
                </c:pt>
                <c:pt idx="1">
                  <c:v>19.047619047619001</c:v>
                </c:pt>
                <c:pt idx="2">
                  <c:v>25.396825396825399</c:v>
                </c:pt>
                <c:pt idx="3">
                  <c:v>21.428571428571399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16-4CD1-8CCF-079FD25BB3D6}"/>
            </c:ext>
          </c:extLst>
        </c:ser>
        <c:ser>
          <c:idx val="2"/>
          <c:order val="2"/>
          <c:tx>
            <c:v>Typewriter RF All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Sheet1!$Y$64:$Y$67</c:f>
              <c:numCache>
                <c:formatCode>General</c:formatCode>
                <c:ptCount val="4"/>
                <c:pt idx="0">
                  <c:v>37.556561085972902</c:v>
                </c:pt>
                <c:pt idx="1">
                  <c:v>48.325358851674601</c:v>
                </c:pt>
                <c:pt idx="2">
                  <c:v>47.945205479452</c:v>
                </c:pt>
                <c:pt idx="3">
                  <c:v>40.990990990991001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016-4CD1-8CCF-079FD25BB3D6}"/>
            </c:ext>
          </c:extLst>
        </c:ser>
        <c:ser>
          <c:idx val="3"/>
          <c:order val="3"/>
          <c:tx>
            <c:v>Typewriter RF Dividing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Sheet1!$Z$64:$Z$67</c:f>
              <c:numCache>
                <c:formatCode>General</c:formatCode>
                <c:ptCount val="4"/>
                <c:pt idx="0">
                  <c:v>19.841269841269799</c:v>
                </c:pt>
                <c:pt idx="1">
                  <c:v>50</c:v>
                </c:pt>
                <c:pt idx="2">
                  <c:v>54.761904761904802</c:v>
                </c:pt>
                <c:pt idx="3">
                  <c:v>50.793650793650798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016-4CD1-8CCF-079FD25BB3D6}"/>
            </c:ext>
          </c:extLst>
        </c:ser>
        <c:ser>
          <c:idx val="4"/>
          <c:order val="4"/>
          <c:tx>
            <c:v>CARLIN Triplet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Sheet1!$AA$64:$AA$67</c:f>
              <c:numCache>
                <c:formatCode>General</c:formatCode>
                <c:ptCount val="4"/>
                <c:pt idx="0">
                  <c:v>71.472511248593904</c:v>
                </c:pt>
                <c:pt idx="1">
                  <c:v>88.743203974503203</c:v>
                </c:pt>
                <c:pt idx="2">
                  <c:v>89.905558680165001</c:v>
                </c:pt>
                <c:pt idx="3">
                  <c:v>89.199006374203194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016-4CD1-8CCF-079FD25BB3D6}"/>
            </c:ext>
          </c:extLst>
        </c:ser>
        <c:ser>
          <c:idx val="5"/>
          <c:order val="5"/>
          <c:tx>
            <c:v>Typewriter Triplet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Sheet1!$AB$64:$AB$67</c:f>
              <c:numCache>
                <c:formatCode>General</c:formatCode>
                <c:ptCount val="4"/>
                <c:pt idx="0">
                  <c:v>82.799318053993204</c:v>
                </c:pt>
                <c:pt idx="1">
                  <c:v>88.513838113985798</c:v>
                </c:pt>
                <c:pt idx="2">
                  <c:v>96.3541666666667</c:v>
                </c:pt>
                <c:pt idx="3">
                  <c:v>99.356721034870603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016-4CD1-8CCF-079FD25BB3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8205264"/>
        <c:axId val="488208144"/>
      </c:barChart>
      <c:catAx>
        <c:axId val="48820526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88208144"/>
        <c:crosses val="autoZero"/>
        <c:auto val="1"/>
        <c:lblAlgn val="ctr"/>
        <c:lblOffset val="100"/>
        <c:noMultiLvlLbl val="0"/>
      </c:catAx>
      <c:valAx>
        <c:axId val="488208144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205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0095144356955384E-2"/>
          <c:y val="0.87134608173978256"/>
          <c:w val="0.80869860017497819"/>
          <c:h val="0.1051020750065816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481012</xdr:colOff>
      <xdr:row>67</xdr:row>
      <xdr:rowOff>85724</xdr:rowOff>
    </xdr:from>
    <xdr:to>
      <xdr:col>8</xdr:col>
      <xdr:colOff>609600</xdr:colOff>
      <xdr:row>84</xdr:row>
      <xdr:rowOff>142874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752A7D-2949-A048-F650-C558EBABF9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609600</xdr:colOff>
      <xdr:row>81</xdr:row>
      <xdr:rowOff>38101</xdr:rowOff>
    </xdr:from>
    <xdr:to>
      <xdr:col>7</xdr:col>
      <xdr:colOff>33338</xdr:colOff>
      <xdr:row>82</xdr:row>
      <xdr:rowOff>112771</xdr:rowOff>
    </xdr:to>
    <xdr:sp macro="" textlink="">
      <xdr:nvSpPr>
        <xdr:cNvPr id="5" name="TextBox 1">
          <a:extLst>
            <a:ext uri="{FF2B5EF4-FFF2-40B4-BE49-F238E27FC236}">
              <a16:creationId xmlns:a16="http://schemas.microsoft.com/office/drawing/2014/main" id="{F7523316-B859-D9BE-A795-D320FC6BC949}"/>
            </a:ext>
          </a:extLst>
        </xdr:cNvPr>
        <xdr:cNvSpPr txBox="1"/>
      </xdr:nvSpPr>
      <xdr:spPr>
        <a:xfrm>
          <a:off x="3200400" y="14697076"/>
          <a:ext cx="1366838" cy="255645"/>
        </a:xfrm>
        <a:prstGeom prst="rect">
          <a:avLst/>
        </a:prstGeom>
      </xdr:spPr>
      <xdr:txBody>
        <a:bodyPr wrap="square"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en-US" sz="1100" kern="1200"/>
            <a:t>Target Number = 12</a:t>
          </a:r>
        </a:p>
      </xdr:txBody>
    </xdr:sp>
    <xdr:clientData/>
  </xdr:twoCellAnchor>
  <xdr:twoCellAnchor>
    <xdr:from>
      <xdr:col>10</xdr:col>
      <xdr:colOff>71437</xdr:colOff>
      <xdr:row>67</xdr:row>
      <xdr:rowOff>66675</xdr:rowOff>
    </xdr:from>
    <xdr:to>
      <xdr:col>18</xdr:col>
      <xdr:colOff>200025</xdr:colOff>
      <xdr:row>84</xdr:row>
      <xdr:rowOff>123825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B70D424-763E-40C5-9609-44FF3CB2B9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638175</xdr:colOff>
      <xdr:row>67</xdr:row>
      <xdr:rowOff>85725</xdr:rowOff>
    </xdr:from>
    <xdr:to>
      <xdr:col>27</xdr:col>
      <xdr:colOff>119063</xdr:colOff>
      <xdr:row>84</xdr:row>
      <xdr:rowOff>142875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465C9B0-CABD-4219-BBB5-FC87CCFC66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27</xdr:col>
      <xdr:colOff>342900</xdr:colOff>
      <xdr:row>67</xdr:row>
      <xdr:rowOff>100013</xdr:rowOff>
    </xdr:from>
    <xdr:to>
      <xdr:col>35</xdr:col>
      <xdr:colOff>471488</xdr:colOff>
      <xdr:row>84</xdr:row>
      <xdr:rowOff>157163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2F0D971-82CD-4223-84C0-2749205F29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88</xdr:row>
      <xdr:rowOff>19049</xdr:rowOff>
    </xdr:from>
    <xdr:to>
      <xdr:col>9</xdr:col>
      <xdr:colOff>128588</xdr:colOff>
      <xdr:row>105</xdr:row>
      <xdr:rowOff>76199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153F1BE-288A-419F-BC91-6C1EF7DFD5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238125</xdr:colOff>
      <xdr:row>88</xdr:row>
      <xdr:rowOff>0</xdr:rowOff>
    </xdr:from>
    <xdr:to>
      <xdr:col>18</xdr:col>
      <xdr:colOff>366713</xdr:colOff>
      <xdr:row>105</xdr:row>
      <xdr:rowOff>57150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84223032-F8D2-41BE-9330-223CF737FE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19</xdr:col>
      <xdr:colOff>157163</xdr:colOff>
      <xdr:row>88</xdr:row>
      <xdr:rowOff>19050</xdr:rowOff>
    </xdr:from>
    <xdr:to>
      <xdr:col>27</xdr:col>
      <xdr:colOff>285751</xdr:colOff>
      <xdr:row>105</xdr:row>
      <xdr:rowOff>76200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BFD5DEC1-245B-4F93-BD02-CE3C975C22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27</xdr:col>
      <xdr:colOff>509588</xdr:colOff>
      <xdr:row>88</xdr:row>
      <xdr:rowOff>33338</xdr:rowOff>
    </xdr:from>
    <xdr:to>
      <xdr:col>35</xdr:col>
      <xdr:colOff>638176</xdr:colOff>
      <xdr:row>105</xdr:row>
      <xdr:rowOff>90488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B2654884-89CE-4297-907B-7070615C72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0.10083</cdr:x>
      <cdr:y>0.79446</cdr:y>
    </cdr:from>
    <cdr:to>
      <cdr:x>0.36854</cdr:x>
      <cdr:y>0.87953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910180B-EE37-B18C-7E52-1A2B65ED5594}"/>
            </a:ext>
          </a:extLst>
        </cdr:cNvPr>
        <cdr:cNvSpPr txBox="1"/>
      </cdr:nvSpPr>
      <cdr:spPr>
        <a:xfrm xmlns:a="http://schemas.openxmlformats.org/drawingml/2006/main">
          <a:off x="535412" y="2489619"/>
          <a:ext cx="1421590" cy="2665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 kern="1200"/>
            <a:t>Target Number = 2</a:t>
          </a:r>
        </a:p>
      </cdr:txBody>
    </cdr:sp>
  </cdr:relSizeAnchor>
  <cdr:relSizeAnchor xmlns:cdr="http://schemas.openxmlformats.org/drawingml/2006/chartDrawing">
    <cdr:from>
      <cdr:x>0.31243</cdr:x>
      <cdr:y>0.7959</cdr:y>
    </cdr:from>
    <cdr:to>
      <cdr:x>0.58014</cdr:x>
      <cdr:y>0.88097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F7523316-B859-D9BE-A795-D320FC6BC949}"/>
            </a:ext>
          </a:extLst>
        </cdr:cNvPr>
        <cdr:cNvSpPr txBox="1"/>
      </cdr:nvSpPr>
      <cdr:spPr>
        <a:xfrm xmlns:a="http://schemas.openxmlformats.org/drawingml/2006/main">
          <a:off x="1659079" y="2494130"/>
          <a:ext cx="1421591" cy="2665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Target Number = 7</a:t>
          </a:r>
        </a:p>
      </cdr:txBody>
    </cdr:sp>
  </cdr:relSizeAnchor>
  <cdr:relSizeAnchor xmlns:cdr="http://schemas.openxmlformats.org/drawingml/2006/chartDrawing">
    <cdr:from>
      <cdr:x>0.73229</cdr:x>
      <cdr:y>0.79564</cdr:y>
    </cdr:from>
    <cdr:to>
      <cdr:x>1</cdr:x>
      <cdr:y>0.88071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F7523316-B859-D9BE-A795-D320FC6BC949}"/>
            </a:ext>
          </a:extLst>
        </cdr:cNvPr>
        <cdr:cNvSpPr txBox="1"/>
      </cdr:nvSpPr>
      <cdr:spPr>
        <a:xfrm xmlns:a="http://schemas.openxmlformats.org/drawingml/2006/main">
          <a:off x="3888607" y="2493328"/>
          <a:ext cx="1421581" cy="26658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Target Number = 17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0.10441</cdr:x>
      <cdr:y>0.79446</cdr:y>
    </cdr:from>
    <cdr:to>
      <cdr:x>0.37212</cdr:x>
      <cdr:y>0.87953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910180B-EE37-B18C-7E52-1A2B65ED5594}"/>
            </a:ext>
          </a:extLst>
        </cdr:cNvPr>
        <cdr:cNvSpPr txBox="1"/>
      </cdr:nvSpPr>
      <cdr:spPr>
        <a:xfrm xmlns:a="http://schemas.openxmlformats.org/drawingml/2006/main">
          <a:off x="554463" y="2489618"/>
          <a:ext cx="1421590" cy="2665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 kern="1200"/>
            <a:t>Target Number = 2</a:t>
          </a:r>
        </a:p>
      </cdr:txBody>
    </cdr:sp>
  </cdr:relSizeAnchor>
  <cdr:relSizeAnchor xmlns:cdr="http://schemas.openxmlformats.org/drawingml/2006/chartDrawing">
    <cdr:from>
      <cdr:x>0.31154</cdr:x>
      <cdr:y>0.7959</cdr:y>
    </cdr:from>
    <cdr:to>
      <cdr:x>0.57925</cdr:x>
      <cdr:y>0.88097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F7523316-B859-D9BE-A795-D320FC6BC949}"/>
            </a:ext>
          </a:extLst>
        </cdr:cNvPr>
        <cdr:cNvSpPr txBox="1"/>
      </cdr:nvSpPr>
      <cdr:spPr>
        <a:xfrm xmlns:a="http://schemas.openxmlformats.org/drawingml/2006/main">
          <a:off x="1654317" y="2494130"/>
          <a:ext cx="1421591" cy="2665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Target Number = 7</a:t>
          </a:r>
        </a:p>
      </cdr:txBody>
    </cdr:sp>
  </cdr:relSizeAnchor>
  <cdr:relSizeAnchor xmlns:cdr="http://schemas.openxmlformats.org/drawingml/2006/chartDrawing">
    <cdr:from>
      <cdr:x>0.73229</cdr:x>
      <cdr:y>0.79564</cdr:y>
    </cdr:from>
    <cdr:to>
      <cdr:x>1</cdr:x>
      <cdr:y>0.88071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F7523316-B859-D9BE-A795-D320FC6BC949}"/>
            </a:ext>
          </a:extLst>
        </cdr:cNvPr>
        <cdr:cNvSpPr txBox="1"/>
      </cdr:nvSpPr>
      <cdr:spPr>
        <a:xfrm xmlns:a="http://schemas.openxmlformats.org/drawingml/2006/main">
          <a:off x="3888607" y="2493328"/>
          <a:ext cx="1421581" cy="26658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Target Number = 17</a:t>
          </a:r>
        </a:p>
      </cdr:txBody>
    </cdr:sp>
  </cdr:relSizeAnchor>
  <cdr:relSizeAnchor xmlns:cdr="http://schemas.openxmlformats.org/drawingml/2006/chartDrawing">
    <cdr:from>
      <cdr:x>0.51001</cdr:x>
      <cdr:y>0.79585</cdr:y>
    </cdr:from>
    <cdr:to>
      <cdr:x>0.76741</cdr:x>
      <cdr:y>0.87742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F7523316-B859-D9BE-A795-D320FC6BC949}"/>
            </a:ext>
          </a:extLst>
        </cdr:cNvPr>
        <cdr:cNvSpPr txBox="1"/>
      </cdr:nvSpPr>
      <cdr:spPr>
        <a:xfrm xmlns:a="http://schemas.openxmlformats.org/drawingml/2006/main">
          <a:off x="2708275" y="2493962"/>
          <a:ext cx="1366838" cy="2556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Target Number = 12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0.09993</cdr:x>
      <cdr:y>0.79446</cdr:y>
    </cdr:from>
    <cdr:to>
      <cdr:x>0.36764</cdr:x>
      <cdr:y>0.87953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910180B-EE37-B18C-7E52-1A2B65ED5594}"/>
            </a:ext>
          </a:extLst>
        </cdr:cNvPr>
        <cdr:cNvSpPr txBox="1"/>
      </cdr:nvSpPr>
      <cdr:spPr>
        <a:xfrm xmlns:a="http://schemas.openxmlformats.org/drawingml/2006/main">
          <a:off x="530650" y="2489618"/>
          <a:ext cx="1421590" cy="2665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 kern="1200"/>
            <a:t>Target Number = 2</a:t>
          </a:r>
        </a:p>
      </cdr:txBody>
    </cdr:sp>
  </cdr:relSizeAnchor>
  <cdr:relSizeAnchor xmlns:cdr="http://schemas.openxmlformats.org/drawingml/2006/chartDrawing">
    <cdr:from>
      <cdr:x>0.30795</cdr:x>
      <cdr:y>0.79438</cdr:y>
    </cdr:from>
    <cdr:to>
      <cdr:x>0.57566</cdr:x>
      <cdr:y>0.87945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F7523316-B859-D9BE-A795-D320FC6BC949}"/>
            </a:ext>
          </a:extLst>
        </cdr:cNvPr>
        <cdr:cNvSpPr txBox="1"/>
      </cdr:nvSpPr>
      <cdr:spPr>
        <a:xfrm xmlns:a="http://schemas.openxmlformats.org/drawingml/2006/main">
          <a:off x="1635267" y="2489368"/>
          <a:ext cx="1421591" cy="2665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Target Number = 7</a:t>
          </a:r>
        </a:p>
      </cdr:txBody>
    </cdr:sp>
  </cdr:relSizeAnchor>
  <cdr:relSizeAnchor xmlns:cdr="http://schemas.openxmlformats.org/drawingml/2006/chartDrawing">
    <cdr:from>
      <cdr:x>0.73229</cdr:x>
      <cdr:y>0.79564</cdr:y>
    </cdr:from>
    <cdr:to>
      <cdr:x>1</cdr:x>
      <cdr:y>0.88071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F7523316-B859-D9BE-A795-D320FC6BC949}"/>
            </a:ext>
          </a:extLst>
        </cdr:cNvPr>
        <cdr:cNvSpPr txBox="1"/>
      </cdr:nvSpPr>
      <cdr:spPr>
        <a:xfrm xmlns:a="http://schemas.openxmlformats.org/drawingml/2006/main">
          <a:off x="3888607" y="2493328"/>
          <a:ext cx="1421581" cy="26658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Target Number = 17</a:t>
          </a:r>
        </a:p>
      </cdr:txBody>
    </cdr:sp>
  </cdr:relSizeAnchor>
  <cdr:relSizeAnchor xmlns:cdr="http://schemas.openxmlformats.org/drawingml/2006/chartDrawing">
    <cdr:from>
      <cdr:x>0.51001</cdr:x>
      <cdr:y>0.79585</cdr:y>
    </cdr:from>
    <cdr:to>
      <cdr:x>0.76741</cdr:x>
      <cdr:y>0.87742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F7523316-B859-D9BE-A795-D320FC6BC949}"/>
            </a:ext>
          </a:extLst>
        </cdr:cNvPr>
        <cdr:cNvSpPr txBox="1"/>
      </cdr:nvSpPr>
      <cdr:spPr>
        <a:xfrm xmlns:a="http://schemas.openxmlformats.org/drawingml/2006/main">
          <a:off x="2708275" y="2493962"/>
          <a:ext cx="1366838" cy="2556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Target Number = 12</a:t>
          </a: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0.10083</cdr:x>
      <cdr:y>0.79598</cdr:y>
    </cdr:from>
    <cdr:to>
      <cdr:x>0.36854</cdr:x>
      <cdr:y>0.88105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910180B-EE37-B18C-7E52-1A2B65ED5594}"/>
            </a:ext>
          </a:extLst>
        </cdr:cNvPr>
        <cdr:cNvSpPr txBox="1"/>
      </cdr:nvSpPr>
      <cdr:spPr>
        <a:xfrm xmlns:a="http://schemas.openxmlformats.org/drawingml/2006/main">
          <a:off x="535412" y="2494381"/>
          <a:ext cx="1421590" cy="2665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 kern="1200"/>
            <a:t>Target Number = 2</a:t>
          </a:r>
        </a:p>
      </cdr:txBody>
    </cdr:sp>
  </cdr:relSizeAnchor>
  <cdr:relSizeAnchor xmlns:cdr="http://schemas.openxmlformats.org/drawingml/2006/chartDrawing">
    <cdr:from>
      <cdr:x>0.31154</cdr:x>
      <cdr:y>0.7959</cdr:y>
    </cdr:from>
    <cdr:to>
      <cdr:x>0.57925</cdr:x>
      <cdr:y>0.88097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F7523316-B859-D9BE-A795-D320FC6BC949}"/>
            </a:ext>
          </a:extLst>
        </cdr:cNvPr>
        <cdr:cNvSpPr txBox="1"/>
      </cdr:nvSpPr>
      <cdr:spPr>
        <a:xfrm xmlns:a="http://schemas.openxmlformats.org/drawingml/2006/main">
          <a:off x="1654316" y="2494131"/>
          <a:ext cx="1421591" cy="2665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Target Number = 7</a:t>
          </a:r>
        </a:p>
      </cdr:txBody>
    </cdr:sp>
  </cdr:relSizeAnchor>
  <cdr:relSizeAnchor xmlns:cdr="http://schemas.openxmlformats.org/drawingml/2006/chartDrawing">
    <cdr:from>
      <cdr:x>0.73229</cdr:x>
      <cdr:y>0.79564</cdr:y>
    </cdr:from>
    <cdr:to>
      <cdr:x>1</cdr:x>
      <cdr:y>0.88071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F7523316-B859-D9BE-A795-D320FC6BC949}"/>
            </a:ext>
          </a:extLst>
        </cdr:cNvPr>
        <cdr:cNvSpPr txBox="1"/>
      </cdr:nvSpPr>
      <cdr:spPr>
        <a:xfrm xmlns:a="http://schemas.openxmlformats.org/drawingml/2006/main">
          <a:off x="3888607" y="2493328"/>
          <a:ext cx="1421581" cy="26658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Target Number = 17</a:t>
          </a:r>
        </a:p>
      </cdr:txBody>
    </cdr:sp>
  </cdr:relSizeAnchor>
  <cdr:relSizeAnchor xmlns:cdr="http://schemas.openxmlformats.org/drawingml/2006/chartDrawing">
    <cdr:from>
      <cdr:x>0.51001</cdr:x>
      <cdr:y>0.79585</cdr:y>
    </cdr:from>
    <cdr:to>
      <cdr:x>0.76741</cdr:x>
      <cdr:y>0.87742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F7523316-B859-D9BE-A795-D320FC6BC949}"/>
            </a:ext>
          </a:extLst>
        </cdr:cNvPr>
        <cdr:cNvSpPr txBox="1"/>
      </cdr:nvSpPr>
      <cdr:spPr>
        <a:xfrm xmlns:a="http://schemas.openxmlformats.org/drawingml/2006/main">
          <a:off x="2708275" y="2493962"/>
          <a:ext cx="1366838" cy="2556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Target Number = 12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0.10083</cdr:x>
      <cdr:y>0.79294</cdr:y>
    </cdr:from>
    <cdr:to>
      <cdr:x>0.36854</cdr:x>
      <cdr:y>0.87801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910180B-EE37-B18C-7E52-1A2B65ED5594}"/>
            </a:ext>
          </a:extLst>
        </cdr:cNvPr>
        <cdr:cNvSpPr txBox="1"/>
      </cdr:nvSpPr>
      <cdr:spPr>
        <a:xfrm xmlns:a="http://schemas.openxmlformats.org/drawingml/2006/main">
          <a:off x="535412" y="2484856"/>
          <a:ext cx="1421590" cy="2665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 kern="1200"/>
            <a:t>Target Number = 2</a:t>
          </a:r>
        </a:p>
      </cdr:txBody>
    </cdr:sp>
  </cdr:relSizeAnchor>
  <cdr:relSizeAnchor xmlns:cdr="http://schemas.openxmlformats.org/drawingml/2006/chartDrawing">
    <cdr:from>
      <cdr:x>0.30705</cdr:x>
      <cdr:y>0.79286</cdr:y>
    </cdr:from>
    <cdr:to>
      <cdr:x>0.57476</cdr:x>
      <cdr:y>0.87793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F7523316-B859-D9BE-A795-D320FC6BC949}"/>
            </a:ext>
          </a:extLst>
        </cdr:cNvPr>
        <cdr:cNvSpPr txBox="1"/>
      </cdr:nvSpPr>
      <cdr:spPr>
        <a:xfrm xmlns:a="http://schemas.openxmlformats.org/drawingml/2006/main">
          <a:off x="1630504" y="2484606"/>
          <a:ext cx="1421591" cy="2665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Target Number = 7</a:t>
          </a:r>
        </a:p>
      </cdr:txBody>
    </cdr:sp>
  </cdr:relSizeAnchor>
  <cdr:relSizeAnchor xmlns:cdr="http://schemas.openxmlformats.org/drawingml/2006/chartDrawing">
    <cdr:from>
      <cdr:x>0.73229</cdr:x>
      <cdr:y>0.79564</cdr:y>
    </cdr:from>
    <cdr:to>
      <cdr:x>1</cdr:x>
      <cdr:y>0.88071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F7523316-B859-D9BE-A795-D320FC6BC949}"/>
            </a:ext>
          </a:extLst>
        </cdr:cNvPr>
        <cdr:cNvSpPr txBox="1"/>
      </cdr:nvSpPr>
      <cdr:spPr>
        <a:xfrm xmlns:a="http://schemas.openxmlformats.org/drawingml/2006/main">
          <a:off x="3888607" y="2493328"/>
          <a:ext cx="1421581" cy="26658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Target Number = 17</a:t>
          </a:r>
        </a:p>
      </cdr:txBody>
    </cdr:sp>
  </cdr:relSizeAnchor>
  <cdr:relSizeAnchor xmlns:cdr="http://schemas.openxmlformats.org/drawingml/2006/chartDrawing">
    <cdr:from>
      <cdr:x>0.50374</cdr:x>
      <cdr:y>0.79281</cdr:y>
    </cdr:from>
    <cdr:to>
      <cdr:x>0.77145</cdr:x>
      <cdr:y>0.87788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5359BC20-0C54-6E36-D725-69F105134497}"/>
            </a:ext>
          </a:extLst>
        </cdr:cNvPr>
        <cdr:cNvSpPr txBox="1"/>
      </cdr:nvSpPr>
      <cdr:spPr>
        <a:xfrm xmlns:a="http://schemas.openxmlformats.org/drawingml/2006/main">
          <a:off x="2674938" y="2484438"/>
          <a:ext cx="1421591" cy="2665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Target Number = 12</a:t>
          </a:r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0.10262</cdr:x>
      <cdr:y>0.7975</cdr:y>
    </cdr:from>
    <cdr:to>
      <cdr:x>0.37033</cdr:x>
      <cdr:y>0.88257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910180B-EE37-B18C-7E52-1A2B65ED5594}"/>
            </a:ext>
          </a:extLst>
        </cdr:cNvPr>
        <cdr:cNvSpPr txBox="1"/>
      </cdr:nvSpPr>
      <cdr:spPr>
        <a:xfrm xmlns:a="http://schemas.openxmlformats.org/drawingml/2006/main">
          <a:off x="544937" y="2499144"/>
          <a:ext cx="1421590" cy="2665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 kern="1200"/>
            <a:t>Target Number = 2</a:t>
          </a:r>
        </a:p>
      </cdr:txBody>
    </cdr:sp>
  </cdr:relSizeAnchor>
  <cdr:relSizeAnchor xmlns:cdr="http://schemas.openxmlformats.org/drawingml/2006/chartDrawing">
    <cdr:from>
      <cdr:x>0.31154</cdr:x>
      <cdr:y>0.7959</cdr:y>
    </cdr:from>
    <cdr:to>
      <cdr:x>0.57925</cdr:x>
      <cdr:y>0.88097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F7523316-B859-D9BE-A795-D320FC6BC949}"/>
            </a:ext>
          </a:extLst>
        </cdr:cNvPr>
        <cdr:cNvSpPr txBox="1"/>
      </cdr:nvSpPr>
      <cdr:spPr>
        <a:xfrm xmlns:a="http://schemas.openxmlformats.org/drawingml/2006/main">
          <a:off x="1654317" y="2494130"/>
          <a:ext cx="1421591" cy="2665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Target Number = 7</a:t>
          </a:r>
        </a:p>
      </cdr:txBody>
    </cdr:sp>
  </cdr:relSizeAnchor>
  <cdr:relSizeAnchor xmlns:cdr="http://schemas.openxmlformats.org/drawingml/2006/chartDrawing">
    <cdr:from>
      <cdr:x>0.73229</cdr:x>
      <cdr:y>0.79564</cdr:y>
    </cdr:from>
    <cdr:to>
      <cdr:x>1</cdr:x>
      <cdr:y>0.88071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F7523316-B859-D9BE-A795-D320FC6BC949}"/>
            </a:ext>
          </a:extLst>
        </cdr:cNvPr>
        <cdr:cNvSpPr txBox="1"/>
      </cdr:nvSpPr>
      <cdr:spPr>
        <a:xfrm xmlns:a="http://schemas.openxmlformats.org/drawingml/2006/main">
          <a:off x="3888607" y="2493328"/>
          <a:ext cx="1421581" cy="26658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Target Number = 17</a:t>
          </a:r>
        </a:p>
      </cdr:txBody>
    </cdr:sp>
  </cdr:relSizeAnchor>
  <cdr:relSizeAnchor xmlns:cdr="http://schemas.openxmlformats.org/drawingml/2006/chartDrawing">
    <cdr:from>
      <cdr:x>0.51001</cdr:x>
      <cdr:y>0.79585</cdr:y>
    </cdr:from>
    <cdr:to>
      <cdr:x>0.76741</cdr:x>
      <cdr:y>0.87742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F7523316-B859-D9BE-A795-D320FC6BC949}"/>
            </a:ext>
          </a:extLst>
        </cdr:cNvPr>
        <cdr:cNvSpPr txBox="1"/>
      </cdr:nvSpPr>
      <cdr:spPr>
        <a:xfrm xmlns:a="http://schemas.openxmlformats.org/drawingml/2006/main">
          <a:off x="2708275" y="2493962"/>
          <a:ext cx="1366838" cy="2556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Target Number = 12</a:t>
          </a:r>
        </a:p>
      </cdr:txBody>
    </cdr:sp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0.09814</cdr:x>
      <cdr:y>0.79598</cdr:y>
    </cdr:from>
    <cdr:to>
      <cdr:x>0.36585</cdr:x>
      <cdr:y>0.88105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910180B-EE37-B18C-7E52-1A2B65ED5594}"/>
            </a:ext>
          </a:extLst>
        </cdr:cNvPr>
        <cdr:cNvSpPr txBox="1"/>
      </cdr:nvSpPr>
      <cdr:spPr>
        <a:xfrm xmlns:a="http://schemas.openxmlformats.org/drawingml/2006/main">
          <a:off x="521125" y="2494381"/>
          <a:ext cx="1421590" cy="2665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 kern="1200"/>
            <a:t>Target Number = 2</a:t>
          </a:r>
        </a:p>
      </cdr:txBody>
    </cdr:sp>
  </cdr:relSizeAnchor>
  <cdr:relSizeAnchor xmlns:cdr="http://schemas.openxmlformats.org/drawingml/2006/chartDrawing">
    <cdr:from>
      <cdr:x>0.30885</cdr:x>
      <cdr:y>0.79742</cdr:y>
    </cdr:from>
    <cdr:to>
      <cdr:x>0.57656</cdr:x>
      <cdr:y>0.88249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F7523316-B859-D9BE-A795-D320FC6BC949}"/>
            </a:ext>
          </a:extLst>
        </cdr:cNvPr>
        <cdr:cNvSpPr txBox="1"/>
      </cdr:nvSpPr>
      <cdr:spPr>
        <a:xfrm xmlns:a="http://schemas.openxmlformats.org/drawingml/2006/main">
          <a:off x="1640029" y="2498893"/>
          <a:ext cx="1421591" cy="2665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Target Number = 7</a:t>
          </a:r>
        </a:p>
      </cdr:txBody>
    </cdr:sp>
  </cdr:relSizeAnchor>
  <cdr:relSizeAnchor xmlns:cdr="http://schemas.openxmlformats.org/drawingml/2006/chartDrawing">
    <cdr:from>
      <cdr:x>0.73229</cdr:x>
      <cdr:y>0.79564</cdr:y>
    </cdr:from>
    <cdr:to>
      <cdr:x>1</cdr:x>
      <cdr:y>0.88071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F7523316-B859-D9BE-A795-D320FC6BC949}"/>
            </a:ext>
          </a:extLst>
        </cdr:cNvPr>
        <cdr:cNvSpPr txBox="1"/>
      </cdr:nvSpPr>
      <cdr:spPr>
        <a:xfrm xmlns:a="http://schemas.openxmlformats.org/drawingml/2006/main">
          <a:off x="3888607" y="2493328"/>
          <a:ext cx="1421581" cy="26658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Target Number = 17</a:t>
          </a:r>
        </a:p>
      </cdr:txBody>
    </cdr:sp>
  </cdr:relSizeAnchor>
  <cdr:relSizeAnchor xmlns:cdr="http://schemas.openxmlformats.org/drawingml/2006/chartDrawing">
    <cdr:from>
      <cdr:x>0.51001</cdr:x>
      <cdr:y>0.79585</cdr:y>
    </cdr:from>
    <cdr:to>
      <cdr:x>0.76741</cdr:x>
      <cdr:y>0.87742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F7523316-B859-D9BE-A795-D320FC6BC949}"/>
            </a:ext>
          </a:extLst>
        </cdr:cNvPr>
        <cdr:cNvSpPr txBox="1"/>
      </cdr:nvSpPr>
      <cdr:spPr>
        <a:xfrm xmlns:a="http://schemas.openxmlformats.org/drawingml/2006/main">
          <a:off x="2708275" y="2493962"/>
          <a:ext cx="1366838" cy="2556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Target Number = 12</a:t>
          </a: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0.10083</cdr:x>
      <cdr:y>0.79902</cdr:y>
    </cdr:from>
    <cdr:to>
      <cdr:x>0.36854</cdr:x>
      <cdr:y>0.88409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910180B-EE37-B18C-7E52-1A2B65ED5594}"/>
            </a:ext>
          </a:extLst>
        </cdr:cNvPr>
        <cdr:cNvSpPr txBox="1"/>
      </cdr:nvSpPr>
      <cdr:spPr>
        <a:xfrm xmlns:a="http://schemas.openxmlformats.org/drawingml/2006/main">
          <a:off x="535412" y="2503906"/>
          <a:ext cx="1421590" cy="2665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 kern="1200"/>
            <a:t>Target Number = 2</a:t>
          </a:r>
        </a:p>
      </cdr:txBody>
    </cdr:sp>
  </cdr:relSizeAnchor>
  <cdr:relSizeAnchor xmlns:cdr="http://schemas.openxmlformats.org/drawingml/2006/chartDrawing">
    <cdr:from>
      <cdr:x>0.30974</cdr:x>
      <cdr:y>0.79742</cdr:y>
    </cdr:from>
    <cdr:to>
      <cdr:x>0.57745</cdr:x>
      <cdr:y>0.88249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F7523316-B859-D9BE-A795-D320FC6BC949}"/>
            </a:ext>
          </a:extLst>
        </cdr:cNvPr>
        <cdr:cNvSpPr txBox="1"/>
      </cdr:nvSpPr>
      <cdr:spPr>
        <a:xfrm xmlns:a="http://schemas.openxmlformats.org/drawingml/2006/main">
          <a:off x="1644791" y="2498893"/>
          <a:ext cx="1421591" cy="2665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Target Number = 7</a:t>
          </a:r>
        </a:p>
      </cdr:txBody>
    </cdr:sp>
  </cdr:relSizeAnchor>
  <cdr:relSizeAnchor xmlns:cdr="http://schemas.openxmlformats.org/drawingml/2006/chartDrawing">
    <cdr:from>
      <cdr:x>0.73229</cdr:x>
      <cdr:y>0.79564</cdr:y>
    </cdr:from>
    <cdr:to>
      <cdr:x>1</cdr:x>
      <cdr:y>0.88071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F7523316-B859-D9BE-A795-D320FC6BC949}"/>
            </a:ext>
          </a:extLst>
        </cdr:cNvPr>
        <cdr:cNvSpPr txBox="1"/>
      </cdr:nvSpPr>
      <cdr:spPr>
        <a:xfrm xmlns:a="http://schemas.openxmlformats.org/drawingml/2006/main">
          <a:off x="3888607" y="2493328"/>
          <a:ext cx="1421581" cy="26658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Target Number = 17</a:t>
          </a:r>
        </a:p>
      </cdr:txBody>
    </cdr:sp>
  </cdr:relSizeAnchor>
  <cdr:relSizeAnchor xmlns:cdr="http://schemas.openxmlformats.org/drawingml/2006/chartDrawing">
    <cdr:from>
      <cdr:x>0.51001</cdr:x>
      <cdr:y>0.79585</cdr:y>
    </cdr:from>
    <cdr:to>
      <cdr:x>0.76741</cdr:x>
      <cdr:y>0.87742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F7523316-B859-D9BE-A795-D320FC6BC949}"/>
            </a:ext>
          </a:extLst>
        </cdr:cNvPr>
        <cdr:cNvSpPr txBox="1"/>
      </cdr:nvSpPr>
      <cdr:spPr>
        <a:xfrm xmlns:a="http://schemas.openxmlformats.org/drawingml/2006/main">
          <a:off x="2708275" y="2493962"/>
          <a:ext cx="1366838" cy="2556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Target Number = 12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E5855-83C7-4998-A975-576B5A438DA3}">
  <dimension ref="A1:AB68"/>
  <sheetViews>
    <sheetView tabSelected="1" topLeftCell="S89" workbookViewId="0">
      <selection activeCell="L108" sqref="L108"/>
    </sheetView>
  </sheetViews>
  <sheetFormatPr defaultRowHeight="14.25" x14ac:dyDescent="0.45"/>
  <sheetData>
    <row r="1" spans="1:28" x14ac:dyDescent="0.45">
      <c r="A1" t="s">
        <v>0</v>
      </c>
      <c r="B1" t="s">
        <v>1</v>
      </c>
      <c r="I1" t="s">
        <v>8</v>
      </c>
      <c r="P1" t="s">
        <v>9</v>
      </c>
      <c r="W1" t="s">
        <v>10</v>
      </c>
    </row>
    <row r="2" spans="1:28" x14ac:dyDescent="0.45">
      <c r="B2" t="s">
        <v>2</v>
      </c>
      <c r="C2" t="s">
        <v>3</v>
      </c>
      <c r="D2" t="s">
        <v>4</v>
      </c>
      <c r="E2" t="s">
        <v>5</v>
      </c>
      <c r="F2" t="s">
        <v>7</v>
      </c>
      <c r="G2" t="s">
        <v>6</v>
      </c>
    </row>
    <row r="3" spans="1:28" x14ac:dyDescent="0.45">
      <c r="B3">
        <v>7.0796460176991198</v>
      </c>
      <c r="C3">
        <v>8.7301587301587293</v>
      </c>
      <c r="D3">
        <v>26.991150442477899</v>
      </c>
      <c r="E3">
        <v>16.6666666666667</v>
      </c>
      <c r="F3">
        <v>64.171470753655797</v>
      </c>
      <c r="G3">
        <v>40.4876148293963</v>
      </c>
      <c r="I3">
        <v>11.374407582938399</v>
      </c>
      <c r="J3">
        <v>15.8730158730159</v>
      </c>
      <c r="K3">
        <v>17.535545023696699</v>
      </c>
      <c r="L3">
        <v>9.5238095238095202</v>
      </c>
      <c r="M3">
        <v>49.516954911886003</v>
      </c>
      <c r="N3">
        <v>51.8899981252343</v>
      </c>
      <c r="P3">
        <v>15.5963302752294</v>
      </c>
      <c r="Q3">
        <v>19.841269841269799</v>
      </c>
      <c r="R3">
        <v>36.238532110091697</v>
      </c>
      <c r="S3">
        <v>18.253968253968299</v>
      </c>
      <c r="T3">
        <v>50.070303712036001</v>
      </c>
      <c r="U3">
        <v>26.104647075365602</v>
      </c>
      <c r="W3">
        <v>10.138248847926301</v>
      </c>
      <c r="X3">
        <v>9.5238095238095202</v>
      </c>
      <c r="Y3">
        <v>33.1797235023041</v>
      </c>
      <c r="Z3">
        <v>19.841269841269799</v>
      </c>
      <c r="AA3">
        <v>49.032738095238102</v>
      </c>
      <c r="AB3">
        <v>36.774992969628798</v>
      </c>
    </row>
    <row r="4" spans="1:28" x14ac:dyDescent="0.45">
      <c r="B4">
        <v>11.5555555555556</v>
      </c>
      <c r="C4">
        <v>14.285714285714301</v>
      </c>
      <c r="D4">
        <v>24.8888888888889</v>
      </c>
      <c r="E4">
        <v>14.285714285714301</v>
      </c>
      <c r="F4">
        <v>42.005296212973398</v>
      </c>
      <c r="G4">
        <v>31.523012748406401</v>
      </c>
      <c r="I4">
        <v>11.1111111111111</v>
      </c>
      <c r="J4">
        <v>15.8730158730159</v>
      </c>
      <c r="K4">
        <v>18.0555555555556</v>
      </c>
      <c r="L4">
        <v>17.460317460317501</v>
      </c>
      <c r="M4">
        <v>64.769638170228703</v>
      </c>
      <c r="N4">
        <v>37.646173134608198</v>
      </c>
      <c r="P4">
        <v>11.363636363636401</v>
      </c>
      <c r="Q4">
        <v>13.492063492063499</v>
      </c>
      <c r="R4">
        <v>25.454545454545499</v>
      </c>
      <c r="S4">
        <v>11.1111111111111</v>
      </c>
      <c r="T4">
        <v>49.745734908136498</v>
      </c>
      <c r="U4">
        <v>74.373125234345693</v>
      </c>
      <c r="W4">
        <v>13.824884792626699</v>
      </c>
      <c r="X4">
        <v>19.047619047619001</v>
      </c>
      <c r="Y4">
        <v>33.640552995391701</v>
      </c>
      <c r="Z4">
        <v>15.8730158730159</v>
      </c>
      <c r="AA4">
        <v>50.721491844769403</v>
      </c>
      <c r="AB4">
        <v>26.596480127484099</v>
      </c>
    </row>
    <row r="5" spans="1:28" x14ac:dyDescent="0.45">
      <c r="B5">
        <v>16.289592760181002</v>
      </c>
      <c r="C5">
        <v>19.841269841269799</v>
      </c>
      <c r="D5">
        <v>14.027149321267</v>
      </c>
      <c r="E5">
        <v>7.1428571428571397</v>
      </c>
      <c r="F5">
        <v>42.738505343082103</v>
      </c>
      <c r="G5">
        <v>35.595062335957998</v>
      </c>
      <c r="I5">
        <v>20.276497695852498</v>
      </c>
      <c r="J5">
        <v>23.015873015873002</v>
      </c>
      <c r="K5">
        <v>27.1889400921659</v>
      </c>
      <c r="L5">
        <v>11.9047619047619</v>
      </c>
      <c r="M5">
        <v>51.164112298462697</v>
      </c>
      <c r="N5">
        <v>18.608513779527598</v>
      </c>
      <c r="P5">
        <v>19.4444444444444</v>
      </c>
      <c r="Q5">
        <v>19.841269841269799</v>
      </c>
      <c r="R5">
        <v>32.407407407407398</v>
      </c>
      <c r="S5">
        <v>15.8730158730159</v>
      </c>
      <c r="T5">
        <v>44.668928102737198</v>
      </c>
      <c r="U5">
        <v>38.627495781777299</v>
      </c>
      <c r="W5">
        <v>13.839285714285699</v>
      </c>
      <c r="X5">
        <v>13.492063492063499</v>
      </c>
      <c r="Y5">
        <v>25</v>
      </c>
      <c r="Z5">
        <v>11.9047619047619</v>
      </c>
      <c r="AA5">
        <v>46.830181383577099</v>
      </c>
      <c r="AB5">
        <v>47.5094910011249</v>
      </c>
    </row>
    <row r="6" spans="1:28" x14ac:dyDescent="0.45">
      <c r="B6">
        <v>15.981735159817401</v>
      </c>
      <c r="C6">
        <v>19.047619047619001</v>
      </c>
      <c r="D6">
        <v>18.721461187214601</v>
      </c>
      <c r="E6">
        <v>13.492063492063499</v>
      </c>
      <c r="F6">
        <v>50.962867922759699</v>
      </c>
      <c r="G6">
        <v>42.357693569553803</v>
      </c>
      <c r="I6">
        <v>16.431924882629101</v>
      </c>
      <c r="J6">
        <v>20.634920634920601</v>
      </c>
      <c r="K6">
        <v>22.5352112676056</v>
      </c>
      <c r="L6">
        <v>9.5238095238095202</v>
      </c>
      <c r="M6">
        <v>46.450248406449198</v>
      </c>
      <c r="N6">
        <v>21.997738563929499</v>
      </c>
      <c r="P6">
        <v>7.7625570776255701</v>
      </c>
      <c r="Q6">
        <v>7.9365079365079403</v>
      </c>
      <c r="R6">
        <v>30.136986301369902</v>
      </c>
      <c r="S6">
        <v>10.3174603174603</v>
      </c>
      <c r="T6">
        <v>48.048486126734197</v>
      </c>
      <c r="U6">
        <v>34.331938976377998</v>
      </c>
      <c r="W6">
        <v>17.129629629629601</v>
      </c>
      <c r="X6">
        <v>19.047619047619001</v>
      </c>
      <c r="Y6">
        <v>25.925925925925899</v>
      </c>
      <c r="Z6">
        <v>12.698412698412699</v>
      </c>
      <c r="AA6">
        <v>54.168424259467599</v>
      </c>
      <c r="AB6">
        <v>21.5378351143607</v>
      </c>
    </row>
    <row r="7" spans="1:28" x14ac:dyDescent="0.45">
      <c r="B7">
        <v>21.759259259259299</v>
      </c>
      <c r="C7">
        <v>24.603174603174601</v>
      </c>
      <c r="D7">
        <v>20.8333333333333</v>
      </c>
      <c r="E7">
        <v>12.698412698412699</v>
      </c>
      <c r="F7">
        <v>63.060086239220098</v>
      </c>
      <c r="G7">
        <v>39.2880577427822</v>
      </c>
      <c r="I7">
        <v>19.545454545454501</v>
      </c>
      <c r="J7">
        <v>19.841269841269799</v>
      </c>
      <c r="K7">
        <v>34.545454545454497</v>
      </c>
      <c r="L7">
        <v>10.3174603174603</v>
      </c>
      <c r="M7">
        <v>51.357447506561698</v>
      </c>
      <c r="N7">
        <v>15.341148762654701</v>
      </c>
      <c r="P7">
        <v>4.0909090909090899</v>
      </c>
      <c r="Q7">
        <v>7.1428571428571397</v>
      </c>
      <c r="R7">
        <v>28.636363636363601</v>
      </c>
      <c r="S7">
        <v>8.7301587301587293</v>
      </c>
      <c r="T7">
        <v>77.264365391826004</v>
      </c>
      <c r="U7">
        <v>21.6778566741657</v>
      </c>
      <c r="W7">
        <v>14.932126696832601</v>
      </c>
      <c r="X7">
        <v>19.841269841269799</v>
      </c>
      <c r="Y7">
        <v>27.1493212669683</v>
      </c>
      <c r="Z7">
        <v>9.5238095238095202</v>
      </c>
      <c r="AA7">
        <v>40.740708192725897</v>
      </c>
      <c r="AB7">
        <v>82.799318053993204</v>
      </c>
    </row>
    <row r="8" spans="1:28" x14ac:dyDescent="0.45">
      <c r="B8">
        <v>12.1076233183857</v>
      </c>
      <c r="C8">
        <v>10.3174603174603</v>
      </c>
      <c r="D8">
        <v>30.4932735426009</v>
      </c>
      <c r="E8">
        <v>9.5238095238095202</v>
      </c>
      <c r="F8">
        <v>48.1770833333333</v>
      </c>
      <c r="G8">
        <v>21.554532245969298</v>
      </c>
      <c r="I8">
        <v>13.302752293577999</v>
      </c>
      <c r="J8">
        <v>19.047619047619001</v>
      </c>
      <c r="K8">
        <v>22.935779816513801</v>
      </c>
      <c r="L8">
        <v>9.5238095238095202</v>
      </c>
      <c r="M8">
        <v>52.511014248218999</v>
      </c>
      <c r="N8">
        <v>30.275121859767498</v>
      </c>
      <c r="P8">
        <v>6.25</v>
      </c>
      <c r="Q8">
        <v>8.7301587301587293</v>
      </c>
      <c r="R8">
        <v>29.910714285714299</v>
      </c>
      <c r="S8">
        <v>8.7301587301587293</v>
      </c>
      <c r="T8">
        <v>70.152851987251594</v>
      </c>
      <c r="U8">
        <v>46.0436586051744</v>
      </c>
      <c r="W8">
        <v>18.348623853210999</v>
      </c>
      <c r="X8">
        <v>24.603174603174601</v>
      </c>
      <c r="Y8">
        <v>29.816513761467899</v>
      </c>
      <c r="Z8">
        <v>15.0793650793651</v>
      </c>
      <c r="AA8">
        <v>42.993063367079102</v>
      </c>
      <c r="AB8">
        <v>32.939925478065199</v>
      </c>
    </row>
    <row r="9" spans="1:28" x14ac:dyDescent="0.45">
      <c r="B9">
        <v>13.004484304932699</v>
      </c>
      <c r="C9">
        <v>12.698412698412699</v>
      </c>
      <c r="D9">
        <v>19.282511210762301</v>
      </c>
      <c r="E9">
        <v>3.9682539682539701</v>
      </c>
      <c r="F9">
        <v>50.566237814023197</v>
      </c>
      <c r="G9">
        <v>29.315183258342699</v>
      </c>
      <c r="I9">
        <v>23.148148148148099</v>
      </c>
      <c r="J9">
        <v>26.984126984126998</v>
      </c>
      <c r="K9">
        <v>30.5555555555556</v>
      </c>
      <c r="L9">
        <v>11.9047619047619</v>
      </c>
      <c r="M9">
        <v>40.0218527371579</v>
      </c>
      <c r="N9">
        <v>19.261166572928399</v>
      </c>
      <c r="P9">
        <v>11.574074074074099</v>
      </c>
      <c r="Q9">
        <v>12.698412698412699</v>
      </c>
      <c r="R9">
        <v>30.5555555555556</v>
      </c>
      <c r="S9">
        <v>14.285714285714301</v>
      </c>
      <c r="T9">
        <v>74.597218316460399</v>
      </c>
      <c r="U9">
        <v>32.126452943382098</v>
      </c>
      <c r="W9">
        <v>20.3619909502262</v>
      </c>
      <c r="X9">
        <v>19.047619047619001</v>
      </c>
      <c r="Y9">
        <v>37.556561085972902</v>
      </c>
      <c r="Z9">
        <v>13.492063492063499</v>
      </c>
      <c r="AA9">
        <v>42.076771653543297</v>
      </c>
      <c r="AB9">
        <v>23.997586239220102</v>
      </c>
    </row>
    <row r="10" spans="1:28" x14ac:dyDescent="0.45">
      <c r="B10">
        <v>19.4570135746606</v>
      </c>
      <c r="C10">
        <v>19.047619047619001</v>
      </c>
      <c r="D10">
        <v>21.2669683257919</v>
      </c>
      <c r="E10">
        <v>13.492063492063499</v>
      </c>
      <c r="F10">
        <v>50.744926415448099</v>
      </c>
      <c r="G10">
        <v>37.913327240344998</v>
      </c>
      <c r="I10">
        <v>14.4796380090498</v>
      </c>
      <c r="J10">
        <v>16.6666666666667</v>
      </c>
      <c r="K10">
        <v>31.221719457013599</v>
      </c>
      <c r="L10">
        <v>18.253968253968299</v>
      </c>
      <c r="M10">
        <v>55.2100909261342</v>
      </c>
      <c r="N10">
        <v>18.898223659542602</v>
      </c>
      <c r="P10">
        <v>9.0497737556561102</v>
      </c>
      <c r="Q10">
        <v>11.1111111111111</v>
      </c>
      <c r="R10">
        <v>21.719457013574701</v>
      </c>
      <c r="S10">
        <v>7.9365079365079403</v>
      </c>
      <c r="T10">
        <v>76.700178102737198</v>
      </c>
      <c r="U10">
        <v>49.055586801649802</v>
      </c>
      <c r="W10">
        <v>7.5471698113207504</v>
      </c>
      <c r="X10">
        <v>11.1111111111111</v>
      </c>
      <c r="Y10">
        <v>29.245283018867902</v>
      </c>
      <c r="Z10">
        <v>10.3174603174603</v>
      </c>
      <c r="AA10">
        <v>71.472511248593904</v>
      </c>
      <c r="AB10">
        <v>80.704267435320602</v>
      </c>
    </row>
    <row r="11" spans="1:28" x14ac:dyDescent="0.45">
      <c r="B11">
        <v>12.9464285714286</v>
      </c>
      <c r="C11">
        <v>15.8730158730159</v>
      </c>
      <c r="D11">
        <v>23.214285714285701</v>
      </c>
      <c r="E11">
        <v>11.1111111111111</v>
      </c>
      <c r="F11">
        <v>50.9288877952756</v>
      </c>
      <c r="G11">
        <v>33.394263217097901</v>
      </c>
      <c r="I11">
        <v>14.351851851851899</v>
      </c>
      <c r="J11">
        <v>16.6666666666667</v>
      </c>
      <c r="K11">
        <v>26.851851851851901</v>
      </c>
      <c r="L11">
        <v>17.460317460317501</v>
      </c>
      <c r="M11">
        <v>76.356275778027793</v>
      </c>
      <c r="N11">
        <v>29.889623172103502</v>
      </c>
      <c r="P11">
        <v>18.8940092165899</v>
      </c>
      <c r="Q11">
        <v>20.634920634920601</v>
      </c>
      <c r="R11">
        <v>34.562211981566797</v>
      </c>
      <c r="S11">
        <v>17.460317460317501</v>
      </c>
      <c r="T11">
        <v>44.630261061117402</v>
      </c>
      <c r="U11">
        <v>43.525028121484802</v>
      </c>
      <c r="W11">
        <v>8.2568807339449606</v>
      </c>
      <c r="X11">
        <v>10.3174603174603</v>
      </c>
      <c r="Y11">
        <v>28.899082568807302</v>
      </c>
      <c r="Z11">
        <v>14.285714285714301</v>
      </c>
      <c r="AA11">
        <v>66.049751593550795</v>
      </c>
      <c r="AB11">
        <v>39.372715129358802</v>
      </c>
    </row>
    <row r="12" spans="1:28" x14ac:dyDescent="0.45">
      <c r="B12">
        <v>25.2293577981651</v>
      </c>
      <c r="C12">
        <v>20.634920634920601</v>
      </c>
      <c r="D12">
        <v>22.0183486238532</v>
      </c>
      <c r="E12">
        <v>11.9047619047619</v>
      </c>
      <c r="F12">
        <v>47.582724034495698</v>
      </c>
      <c r="G12">
        <v>34.144169478815201</v>
      </c>
      <c r="I12">
        <v>14.027149321267</v>
      </c>
      <c r="J12">
        <v>18.253968253968299</v>
      </c>
      <c r="K12">
        <v>28.506787330316701</v>
      </c>
      <c r="L12">
        <v>11.9047619047619</v>
      </c>
      <c r="M12">
        <v>52.566671353580801</v>
      </c>
      <c r="N12">
        <v>14.873336145481799</v>
      </c>
      <c r="P12">
        <v>19.047619047619001</v>
      </c>
      <c r="Q12">
        <v>22.2222222222222</v>
      </c>
      <c r="R12">
        <v>21.904761904761902</v>
      </c>
      <c r="S12">
        <v>9.5238095238095202</v>
      </c>
      <c r="T12">
        <v>44.9375468691414</v>
      </c>
      <c r="U12">
        <v>79.212949943756996</v>
      </c>
      <c r="W12">
        <v>16.289592760181002</v>
      </c>
      <c r="X12">
        <v>15.0793650793651</v>
      </c>
      <c r="Y12">
        <v>23.529411764705898</v>
      </c>
      <c r="Z12">
        <v>7.1428571428571397</v>
      </c>
      <c r="AA12">
        <v>49.245992688413899</v>
      </c>
      <c r="AB12">
        <v>33.493567210348701</v>
      </c>
    </row>
    <row r="13" spans="1:28" s="1" customFormat="1" x14ac:dyDescent="0.45">
      <c r="A13" s="1" t="s">
        <v>14</v>
      </c>
      <c r="B13" s="1">
        <f>AVERAGE(B3:B12)</f>
        <v>15.541069632008512</v>
      </c>
      <c r="C13" s="1">
        <f t="shared" ref="C13:G13" si="0">AVERAGE(C3:C12)</f>
        <v>16.507936507936495</v>
      </c>
      <c r="D13" s="1">
        <f t="shared" si="0"/>
        <v>22.173737059047571</v>
      </c>
      <c r="E13" s="1">
        <f t="shared" si="0"/>
        <v>11.428571428571432</v>
      </c>
      <c r="F13" s="1">
        <f t="shared" si="0"/>
        <v>51.093808586426704</v>
      </c>
      <c r="G13" s="1">
        <f t="shared" si="0"/>
        <v>34.557291666666671</v>
      </c>
      <c r="I13" s="1">
        <f>AVERAGE(I3:I12)</f>
        <v>15.804893544188038</v>
      </c>
      <c r="J13" s="1">
        <f t="shared" ref="J13" si="1">AVERAGE(J3:J12)</f>
        <v>19.285714285714288</v>
      </c>
      <c r="K13" s="1">
        <f t="shared" ref="K13" si="2">AVERAGE(K3:K12)</f>
        <v>25.993240049572989</v>
      </c>
      <c r="L13" s="1">
        <f t="shared" ref="L13" si="3">AVERAGE(L3:L12)</f>
        <v>12.777777777777786</v>
      </c>
      <c r="M13" s="1">
        <f t="shared" ref="M13" si="4">AVERAGE(M3:M12)</f>
        <v>53.992430633670793</v>
      </c>
      <c r="N13" s="1">
        <f t="shared" ref="N13" si="5">AVERAGE(N3:N12)</f>
        <v>25.868104377577811</v>
      </c>
      <c r="P13" s="1">
        <f>AVERAGE(P3:P12)</f>
        <v>12.307335334578397</v>
      </c>
      <c r="Q13" s="1">
        <f t="shared" ref="Q13" si="6">AVERAGE(Q3:Q12)</f>
        <v>14.36507936507935</v>
      </c>
      <c r="R13" s="1">
        <f t="shared" ref="R13" si="7">AVERAGE(R3:R12)</f>
        <v>29.152653565095143</v>
      </c>
      <c r="S13" s="1">
        <f t="shared" ref="S13" si="8">AVERAGE(S3:S12)</f>
        <v>12.222222222222232</v>
      </c>
      <c r="T13" s="1">
        <f t="shared" ref="T13" si="9">AVERAGE(T3:T12)</f>
        <v>58.081587457817797</v>
      </c>
      <c r="U13" s="1">
        <f t="shared" ref="U13" si="10">AVERAGE(U3:U12)</f>
        <v>44.507874015748044</v>
      </c>
      <c r="W13" s="1">
        <f>AVERAGE(W3:W12)</f>
        <v>14.066843379018479</v>
      </c>
      <c r="X13" s="1">
        <f t="shared" ref="X13" si="11">AVERAGE(X3:X12)</f>
        <v>16.111111111111093</v>
      </c>
      <c r="Y13" s="1">
        <f t="shared" ref="Y13" si="12">AVERAGE(Y3:Y12)</f>
        <v>29.39423758904119</v>
      </c>
      <c r="Z13" s="1">
        <f t="shared" ref="Z13" si="13">AVERAGE(Z3:Z12)</f>
        <v>13.015873015873018</v>
      </c>
      <c r="AA13" s="1">
        <f t="shared" ref="AA13" si="14">AVERAGE(AA3:AA12)</f>
        <v>51.333163432695912</v>
      </c>
      <c r="AB13" s="1">
        <f t="shared" ref="AB13" si="15">AVERAGE(AB3:AB12)</f>
        <v>42.572617875890515</v>
      </c>
    </row>
    <row r="14" spans="1:28" s="1" customFormat="1" x14ac:dyDescent="0.45">
      <c r="A14" s="1" t="s">
        <v>15</v>
      </c>
      <c r="B14" s="1">
        <f>MAX(B3:B12)</f>
        <v>25.2293577981651</v>
      </c>
      <c r="C14" s="1">
        <f t="shared" ref="C14:G14" si="16">MAX(C3:C12)</f>
        <v>24.603174603174601</v>
      </c>
      <c r="D14" s="1">
        <f t="shared" si="16"/>
        <v>30.4932735426009</v>
      </c>
      <c r="E14" s="1">
        <f t="shared" si="16"/>
        <v>16.6666666666667</v>
      </c>
      <c r="F14" s="1">
        <f t="shared" si="16"/>
        <v>64.171470753655797</v>
      </c>
      <c r="G14" s="1">
        <f t="shared" si="16"/>
        <v>42.357693569553803</v>
      </c>
      <c r="I14" s="1">
        <f>MAX(I3:I12)</f>
        <v>23.148148148148099</v>
      </c>
      <c r="J14" s="1">
        <f t="shared" ref="J14:N14" si="17">MAX(J3:J12)</f>
        <v>26.984126984126998</v>
      </c>
      <c r="K14" s="1">
        <f t="shared" si="17"/>
        <v>34.545454545454497</v>
      </c>
      <c r="L14" s="1">
        <f t="shared" si="17"/>
        <v>18.253968253968299</v>
      </c>
      <c r="M14" s="1">
        <f t="shared" si="17"/>
        <v>76.356275778027793</v>
      </c>
      <c r="N14" s="1">
        <f t="shared" si="17"/>
        <v>51.8899981252343</v>
      </c>
      <c r="P14" s="1">
        <f>MAX(P3:P12)</f>
        <v>19.4444444444444</v>
      </c>
      <c r="Q14" s="1">
        <f t="shared" ref="Q14:U14" si="18">MAX(Q3:Q12)</f>
        <v>22.2222222222222</v>
      </c>
      <c r="R14" s="1">
        <f t="shared" si="18"/>
        <v>36.238532110091697</v>
      </c>
      <c r="S14" s="1">
        <f t="shared" si="18"/>
        <v>18.253968253968299</v>
      </c>
      <c r="T14" s="1">
        <f t="shared" si="18"/>
        <v>77.264365391826004</v>
      </c>
      <c r="U14" s="1">
        <f t="shared" si="18"/>
        <v>79.212949943756996</v>
      </c>
      <c r="W14" s="1">
        <f>MAX(W3:W12)</f>
        <v>20.3619909502262</v>
      </c>
      <c r="X14" s="1">
        <f t="shared" ref="X14:AB14" si="19">MAX(X3:X12)</f>
        <v>24.603174603174601</v>
      </c>
      <c r="Y14" s="1">
        <f t="shared" si="19"/>
        <v>37.556561085972902</v>
      </c>
      <c r="Z14" s="1">
        <f t="shared" si="19"/>
        <v>19.841269841269799</v>
      </c>
      <c r="AA14" s="1">
        <f t="shared" si="19"/>
        <v>71.472511248593904</v>
      </c>
      <c r="AB14" s="1">
        <f t="shared" si="19"/>
        <v>82.799318053993204</v>
      </c>
    </row>
    <row r="16" spans="1:28" x14ac:dyDescent="0.45">
      <c r="A16" t="s">
        <v>11</v>
      </c>
      <c r="B16">
        <v>9.5454545454545503</v>
      </c>
      <c r="C16">
        <v>12.698412698412699</v>
      </c>
      <c r="D16">
        <v>29.545454545454501</v>
      </c>
      <c r="E16">
        <v>25.396825396825399</v>
      </c>
      <c r="F16">
        <v>61.310988470191198</v>
      </c>
      <c r="G16">
        <v>43.0976401387327</v>
      </c>
      <c r="I16">
        <v>8.7962962962962994</v>
      </c>
      <c r="J16">
        <v>11.9047619047619</v>
      </c>
      <c r="K16">
        <v>32.407407407407398</v>
      </c>
      <c r="L16">
        <v>42.857142857142897</v>
      </c>
      <c r="M16">
        <v>56.766146419197597</v>
      </c>
      <c r="N16">
        <v>83.244281964754407</v>
      </c>
      <c r="P16">
        <v>17.370892018779301</v>
      </c>
      <c r="Q16">
        <v>21.428571428571399</v>
      </c>
      <c r="R16">
        <v>28.638497652582199</v>
      </c>
      <c r="S16">
        <v>37.301587301587297</v>
      </c>
      <c r="T16">
        <v>49.599561773528301</v>
      </c>
      <c r="U16">
        <v>96.123629077615306</v>
      </c>
      <c r="W16">
        <v>14.622641509434001</v>
      </c>
      <c r="X16">
        <v>17.460317460317501</v>
      </c>
      <c r="Y16">
        <v>26.415094339622598</v>
      </c>
      <c r="Z16">
        <v>31.746031746031701</v>
      </c>
      <c r="AA16">
        <v>54.072049587551597</v>
      </c>
      <c r="AB16">
        <v>59.606416385451801</v>
      </c>
    </row>
    <row r="17" spans="1:28" x14ac:dyDescent="0.45">
      <c r="B17">
        <v>11.4832535885167</v>
      </c>
      <c r="C17">
        <v>15.0793650793651</v>
      </c>
      <c r="D17">
        <v>24.401913875598101</v>
      </c>
      <c r="E17">
        <v>34.126984126984098</v>
      </c>
      <c r="F17">
        <v>47.108173978252701</v>
      </c>
      <c r="G17">
        <v>92.474866422947102</v>
      </c>
      <c r="I17">
        <v>6.3926940639269398</v>
      </c>
      <c r="J17">
        <v>10.3174603174603</v>
      </c>
      <c r="K17">
        <v>42.009132420091298</v>
      </c>
      <c r="L17">
        <v>40.476190476190503</v>
      </c>
      <c r="M17">
        <v>77.1477784026997</v>
      </c>
      <c r="N17">
        <v>25.8732306899138</v>
      </c>
      <c r="P17">
        <v>15.765765765765799</v>
      </c>
      <c r="Q17">
        <v>23.015873015873002</v>
      </c>
      <c r="R17">
        <v>27.4774774774775</v>
      </c>
      <c r="S17">
        <v>23.8095238095238</v>
      </c>
      <c r="T17">
        <v>55.124261811023601</v>
      </c>
      <c r="U17">
        <v>59.887631233595798</v>
      </c>
      <c r="W17">
        <v>10.360360360360399</v>
      </c>
      <c r="X17">
        <v>11.9047619047619</v>
      </c>
      <c r="Y17">
        <v>27.9279279279279</v>
      </c>
      <c r="Z17">
        <v>34.126984126984098</v>
      </c>
      <c r="AA17">
        <v>79.9479166666667</v>
      </c>
      <c r="AB17">
        <v>68.718070397450305</v>
      </c>
    </row>
    <row r="18" spans="1:28" x14ac:dyDescent="0.45">
      <c r="B18">
        <v>11.818181818181801</v>
      </c>
      <c r="C18">
        <v>14.285714285714301</v>
      </c>
      <c r="D18">
        <v>29.545454545454501</v>
      </c>
      <c r="E18">
        <v>30.952380952380999</v>
      </c>
      <c r="F18">
        <v>55.239384139482603</v>
      </c>
      <c r="G18">
        <v>62.6051626359205</v>
      </c>
      <c r="I18">
        <v>12.4423963133641</v>
      </c>
      <c r="J18">
        <v>17.460317460317501</v>
      </c>
      <c r="K18">
        <v>22.580645161290299</v>
      </c>
      <c r="L18">
        <v>24.603174603174601</v>
      </c>
      <c r="M18">
        <v>65.242430633670807</v>
      </c>
      <c r="N18">
        <v>55.157949006374203</v>
      </c>
      <c r="P18">
        <v>14.622641509434001</v>
      </c>
      <c r="Q18">
        <v>19.841269841269799</v>
      </c>
      <c r="R18">
        <v>30.188679245283002</v>
      </c>
      <c r="S18">
        <v>31.746031746031701</v>
      </c>
      <c r="T18">
        <v>53.822178477690301</v>
      </c>
      <c r="U18">
        <v>59.725346831646</v>
      </c>
      <c r="W18">
        <v>14.8325358851675</v>
      </c>
      <c r="X18">
        <v>16.6666666666667</v>
      </c>
      <c r="Y18">
        <v>48.325358851674601</v>
      </c>
      <c r="Z18">
        <v>50</v>
      </c>
      <c r="AA18">
        <v>52.212809336333002</v>
      </c>
      <c r="AB18">
        <v>88.513838113985798</v>
      </c>
    </row>
    <row r="19" spans="1:28" x14ac:dyDescent="0.45">
      <c r="B19">
        <v>11.2612612612613</v>
      </c>
      <c r="C19">
        <v>13.492063492063499</v>
      </c>
      <c r="D19">
        <v>21.6216216216216</v>
      </c>
      <c r="E19">
        <v>23.8095238095238</v>
      </c>
      <c r="F19">
        <v>80.538467847768999</v>
      </c>
      <c r="G19">
        <v>44.373652512185998</v>
      </c>
      <c r="I19">
        <v>16.5898617511521</v>
      </c>
      <c r="J19">
        <v>19.047619047619001</v>
      </c>
      <c r="K19">
        <v>29.953917050691199</v>
      </c>
      <c r="L19">
        <v>38.095238095238102</v>
      </c>
      <c r="M19">
        <v>40.180914885639297</v>
      </c>
      <c r="N19">
        <v>60.221866797900297</v>
      </c>
      <c r="P19">
        <v>13.1221719457014</v>
      </c>
      <c r="Q19">
        <v>11.9047619047619</v>
      </c>
      <c r="R19">
        <v>39.8190045248869</v>
      </c>
      <c r="S19">
        <v>42.063492063492099</v>
      </c>
      <c r="T19">
        <v>65.877214566929098</v>
      </c>
      <c r="U19">
        <v>41.721444975628003</v>
      </c>
      <c r="W19">
        <v>12.4423963133641</v>
      </c>
      <c r="X19">
        <v>13.492063492063499</v>
      </c>
      <c r="Y19">
        <v>37.327188940092199</v>
      </c>
      <c r="Z19">
        <v>41.269841269841301</v>
      </c>
      <c r="AA19">
        <v>42.8712035995501</v>
      </c>
      <c r="AB19">
        <v>64.721597300337507</v>
      </c>
    </row>
    <row r="20" spans="1:28" x14ac:dyDescent="0.45">
      <c r="B20">
        <v>17.431192660550501</v>
      </c>
      <c r="C20">
        <v>17.460317460317501</v>
      </c>
      <c r="D20">
        <v>30.7339449541284</v>
      </c>
      <c r="E20">
        <v>28.571428571428601</v>
      </c>
      <c r="F20">
        <v>45.481521841019898</v>
      </c>
      <c r="G20">
        <v>50.3597206599175</v>
      </c>
      <c r="I20">
        <v>6.8181818181818201</v>
      </c>
      <c r="J20">
        <v>7.1428571428571397</v>
      </c>
      <c r="K20">
        <v>32.727272727272698</v>
      </c>
      <c r="L20">
        <v>34.126984126984098</v>
      </c>
      <c r="M20">
        <v>62.389564585676801</v>
      </c>
      <c r="N20">
        <v>60.019450693663302</v>
      </c>
      <c r="P20">
        <v>15.094339622641501</v>
      </c>
      <c r="Q20">
        <v>17.460317460317501</v>
      </c>
      <c r="R20">
        <v>45.754716981132098</v>
      </c>
      <c r="S20">
        <v>39.682539682539698</v>
      </c>
      <c r="T20">
        <v>47.368590644919401</v>
      </c>
      <c r="U20">
        <v>48.569612392201002</v>
      </c>
      <c r="W20">
        <v>11.818181818181801</v>
      </c>
      <c r="X20">
        <v>12.698412698412699</v>
      </c>
      <c r="Y20">
        <v>36.363636363636402</v>
      </c>
      <c r="Z20">
        <v>35.714285714285701</v>
      </c>
      <c r="AA20">
        <v>53.730783652043499</v>
      </c>
      <c r="AB20">
        <v>52.883330989876299</v>
      </c>
    </row>
    <row r="21" spans="1:28" x14ac:dyDescent="0.45">
      <c r="B21">
        <v>14.883720930232601</v>
      </c>
      <c r="C21">
        <v>19.841269841269799</v>
      </c>
      <c r="D21">
        <v>24.1860465116279</v>
      </c>
      <c r="E21">
        <v>32.539682539682502</v>
      </c>
      <c r="F21">
        <v>52.413174915635501</v>
      </c>
      <c r="G21">
        <v>52.083919197600302</v>
      </c>
      <c r="I21">
        <v>11.4678899082569</v>
      </c>
      <c r="J21">
        <v>14.285714285714301</v>
      </c>
      <c r="K21">
        <v>19.2660550458716</v>
      </c>
      <c r="L21">
        <v>26.984126984126998</v>
      </c>
      <c r="M21">
        <v>85.634315241844803</v>
      </c>
      <c r="N21">
        <v>84.575951443569593</v>
      </c>
      <c r="P21">
        <v>8.9686098654708495</v>
      </c>
      <c r="Q21">
        <v>13.492063492063499</v>
      </c>
      <c r="R21">
        <v>24.6636771300448</v>
      </c>
      <c r="S21">
        <v>31.746031746031701</v>
      </c>
      <c r="T21">
        <v>57.999683633295803</v>
      </c>
      <c r="U21">
        <v>94.067245500562393</v>
      </c>
      <c r="W21">
        <v>14.678899082568799</v>
      </c>
      <c r="X21">
        <v>19.047619047619001</v>
      </c>
      <c r="Y21">
        <v>32.568807339449499</v>
      </c>
      <c r="Z21">
        <v>31.746031746031701</v>
      </c>
      <c r="AA21">
        <v>53.7442585301837</v>
      </c>
      <c r="AB21">
        <v>49.692421259842497</v>
      </c>
    </row>
    <row r="22" spans="1:28" x14ac:dyDescent="0.45">
      <c r="B22">
        <v>11.7117117117117</v>
      </c>
      <c r="C22">
        <v>18.253968253968299</v>
      </c>
      <c r="D22">
        <v>16.2162162162162</v>
      </c>
      <c r="E22">
        <v>25.396825396825399</v>
      </c>
      <c r="F22">
        <v>73.980596175478098</v>
      </c>
      <c r="G22">
        <v>91.875527277840305</v>
      </c>
      <c r="I22">
        <v>16.037735849056599</v>
      </c>
      <c r="J22">
        <v>19.047619047619001</v>
      </c>
      <c r="K22">
        <v>32.547169811320799</v>
      </c>
      <c r="L22">
        <v>35.714285714285701</v>
      </c>
      <c r="M22">
        <v>48.3551860704912</v>
      </c>
      <c r="N22">
        <v>61.729588488938901</v>
      </c>
      <c r="P22">
        <v>15</v>
      </c>
      <c r="Q22">
        <v>18.253968253968299</v>
      </c>
      <c r="R22">
        <v>37.727272727272698</v>
      </c>
      <c r="S22">
        <v>42.063492063492099</v>
      </c>
      <c r="T22">
        <v>44.200529621297299</v>
      </c>
      <c r="U22">
        <v>52.883330989876299</v>
      </c>
      <c r="W22">
        <v>12.1495327102804</v>
      </c>
      <c r="X22">
        <v>19.047619047619001</v>
      </c>
      <c r="Y22">
        <v>32.7102803738318</v>
      </c>
      <c r="Z22">
        <v>37.301587301587297</v>
      </c>
      <c r="AA22">
        <v>88.743203974503203</v>
      </c>
      <c r="AB22">
        <v>44.0256491376078</v>
      </c>
    </row>
    <row r="23" spans="1:28" x14ac:dyDescent="0.45">
      <c r="B23">
        <v>11.6071428571429</v>
      </c>
      <c r="C23">
        <v>12.698412698412699</v>
      </c>
      <c r="D23">
        <v>33.035714285714299</v>
      </c>
      <c r="E23">
        <v>41.269841269841301</v>
      </c>
      <c r="F23">
        <v>60.509233220847399</v>
      </c>
      <c r="G23">
        <v>52.509256655418099</v>
      </c>
      <c r="I23">
        <v>13.0841121495327</v>
      </c>
      <c r="J23">
        <v>15.8730158730159</v>
      </c>
      <c r="K23">
        <v>38.317757009345797</v>
      </c>
      <c r="L23">
        <v>47.619047619047599</v>
      </c>
      <c r="M23">
        <v>69.794888920134994</v>
      </c>
      <c r="N23">
        <v>56.395587270341203</v>
      </c>
      <c r="P23">
        <v>16.822429906542101</v>
      </c>
      <c r="Q23">
        <v>20.634920634920601</v>
      </c>
      <c r="R23">
        <v>40.186915887850503</v>
      </c>
      <c r="S23">
        <v>43.650793650793702</v>
      </c>
      <c r="T23">
        <v>45.314257592800899</v>
      </c>
      <c r="U23">
        <v>37.781800712410899</v>
      </c>
      <c r="W23">
        <v>8.8372093023255793</v>
      </c>
      <c r="X23">
        <v>14.285714285714301</v>
      </c>
      <c r="Y23">
        <v>32.093023255814003</v>
      </c>
      <c r="Z23">
        <v>42.063492063492099</v>
      </c>
      <c r="AA23">
        <v>74.064667697787797</v>
      </c>
      <c r="AB23">
        <v>59.205392294713199</v>
      </c>
    </row>
    <row r="24" spans="1:28" x14ac:dyDescent="0.45">
      <c r="B24">
        <v>16.744186046511601</v>
      </c>
      <c r="C24">
        <v>18.253968253968299</v>
      </c>
      <c r="D24">
        <v>23.7209302325581</v>
      </c>
      <c r="E24">
        <v>25.396825396825399</v>
      </c>
      <c r="F24">
        <v>55.155898481439799</v>
      </c>
      <c r="G24">
        <v>63.415998781402301</v>
      </c>
      <c r="I24">
        <v>14.285714285714301</v>
      </c>
      <c r="J24">
        <v>17.460317460317501</v>
      </c>
      <c r="K24">
        <v>26.728110599078299</v>
      </c>
      <c r="L24">
        <v>30.952380952380999</v>
      </c>
      <c r="M24">
        <v>45.139670041244798</v>
      </c>
      <c r="N24">
        <v>49.4554391638545</v>
      </c>
      <c r="P24">
        <v>25.700934579439199</v>
      </c>
      <c r="Q24">
        <v>27.7777777777778</v>
      </c>
      <c r="R24">
        <v>32.7102803738318</v>
      </c>
      <c r="S24">
        <v>34.920634920634903</v>
      </c>
      <c r="T24">
        <v>43.367723565804297</v>
      </c>
      <c r="U24">
        <v>68.169701443569593</v>
      </c>
      <c r="W24">
        <v>15.5963302752294</v>
      </c>
      <c r="X24">
        <v>18.253968253968299</v>
      </c>
      <c r="Y24">
        <v>46.788990825688103</v>
      </c>
      <c r="Z24">
        <v>46.825396825396801</v>
      </c>
      <c r="AA24">
        <v>66.429391638545198</v>
      </c>
      <c r="AB24">
        <v>33.946733220847399</v>
      </c>
    </row>
    <row r="25" spans="1:28" x14ac:dyDescent="0.45">
      <c r="B25">
        <v>17.511520737327199</v>
      </c>
      <c r="C25">
        <v>21.428571428571399</v>
      </c>
      <c r="D25">
        <v>23.963133640553</v>
      </c>
      <c r="E25">
        <v>31.746031746031701</v>
      </c>
      <c r="F25">
        <v>60.2537964004499</v>
      </c>
      <c r="G25">
        <v>65.587797619047606</v>
      </c>
      <c r="I25">
        <v>7.0093457943925204</v>
      </c>
      <c r="J25">
        <v>9.5238095238095202</v>
      </c>
      <c r="K25">
        <v>41.588785046729001</v>
      </c>
      <c r="L25">
        <v>40.476190476190503</v>
      </c>
      <c r="M25">
        <v>74.963090551181097</v>
      </c>
      <c r="N25">
        <v>51.255507124109499</v>
      </c>
      <c r="P25">
        <v>12.8571428571429</v>
      </c>
      <c r="Q25">
        <v>15.8730158730159</v>
      </c>
      <c r="R25">
        <v>38.095238095238102</v>
      </c>
      <c r="S25">
        <v>44.4444444444444</v>
      </c>
      <c r="T25">
        <v>63.022883858267697</v>
      </c>
      <c r="U25">
        <v>55.808258342707198</v>
      </c>
      <c r="W25">
        <v>15.068493150684899</v>
      </c>
      <c r="X25">
        <v>18.253968253968299</v>
      </c>
      <c r="Y25">
        <v>38.356164383561598</v>
      </c>
      <c r="Z25">
        <v>42.857142857142897</v>
      </c>
      <c r="AA25">
        <v>47.810918166479198</v>
      </c>
      <c r="AB25">
        <v>66.172490157480297</v>
      </c>
    </row>
    <row r="26" spans="1:28" s="1" customFormat="1" x14ac:dyDescent="0.45">
      <c r="A26" s="1" t="s">
        <v>14</v>
      </c>
      <c r="B26" s="1">
        <f>AVERAGE(B16:B25)</f>
        <v>13.399762615689085</v>
      </c>
      <c r="C26" s="1">
        <f t="shared" ref="C26" si="20">AVERAGE(C16:C25)</f>
        <v>16.349206349206359</v>
      </c>
      <c r="D26" s="1">
        <f t="shared" ref="D26" si="21">AVERAGE(D16:D25)</f>
        <v>25.697043042892659</v>
      </c>
      <c r="E26" s="1">
        <f t="shared" ref="E26" si="22">AVERAGE(E16:E25)</f>
        <v>29.920634920634917</v>
      </c>
      <c r="F26" s="1">
        <f t="shared" ref="F26" si="23">AVERAGE(F16:F25)</f>
        <v>59.199123547056615</v>
      </c>
      <c r="G26" s="1">
        <f t="shared" ref="G26" si="24">AVERAGE(G16:G25)</f>
        <v>61.838354190101242</v>
      </c>
      <c r="I26" s="1">
        <f>AVERAGE(I16:I25)</f>
        <v>11.292422822987429</v>
      </c>
      <c r="J26" s="1">
        <f t="shared" ref="J26" si="25">AVERAGE(J16:J25)</f>
        <v>14.206349206349207</v>
      </c>
      <c r="K26" s="1">
        <f t="shared" ref="K26" si="26">AVERAGE(K16:K25)</f>
        <v>31.812625227909841</v>
      </c>
      <c r="L26" s="1">
        <f t="shared" ref="L26" si="27">AVERAGE(L16:L25)</f>
        <v>36.190476190476197</v>
      </c>
      <c r="M26" s="1">
        <f t="shared" ref="M26" si="28">AVERAGE(M16:M25)</f>
        <v>62.561398575178103</v>
      </c>
      <c r="N26" s="1">
        <f t="shared" ref="N26" si="29">AVERAGE(N16:N25)</f>
        <v>58.792885264341962</v>
      </c>
      <c r="P26" s="1">
        <f>AVERAGE(P16:P25)</f>
        <v>15.532492807091703</v>
      </c>
      <c r="Q26" s="1">
        <f t="shared" ref="Q26" si="30">AVERAGE(Q16:Q25)</f>
        <v>18.968253968253968</v>
      </c>
      <c r="R26" s="1">
        <f t="shared" ref="R26" si="31">AVERAGE(R16:R25)</f>
        <v>34.526176009559961</v>
      </c>
      <c r="S26" s="1">
        <f t="shared" ref="S26" si="32">AVERAGE(S16:S25)</f>
        <v>37.142857142857139</v>
      </c>
      <c r="T26" s="1">
        <f t="shared" ref="T26" si="33">AVERAGE(T16:T25)</f>
        <v>52.569688554555661</v>
      </c>
      <c r="U26" s="1">
        <f t="shared" ref="U26" si="34">AVERAGE(U16:U25)</f>
        <v>61.473800149981251</v>
      </c>
      <c r="W26" s="1">
        <f>AVERAGE(W16:W25)</f>
        <v>13.040658040759689</v>
      </c>
      <c r="X26" s="1">
        <f t="shared" ref="X26" si="35">AVERAGE(X16:X25)</f>
        <v>16.111111111111121</v>
      </c>
      <c r="Y26" s="1">
        <f t="shared" ref="Y26" si="36">AVERAGE(Y16:Y25)</f>
        <v>35.887647260129867</v>
      </c>
      <c r="Z26" s="1">
        <f t="shared" ref="Z26" si="37">AVERAGE(Z16:Z25)</f>
        <v>39.36507936507936</v>
      </c>
      <c r="AA26" s="1">
        <f t="shared" ref="AA26" si="38">AVERAGE(AA16:AA25)</f>
        <v>61.362720284964396</v>
      </c>
      <c r="AB26" s="1">
        <f t="shared" ref="AB26" si="39">AVERAGE(AB16:AB25)</f>
        <v>58.748593925759295</v>
      </c>
    </row>
    <row r="27" spans="1:28" s="1" customFormat="1" x14ac:dyDescent="0.45">
      <c r="A27" s="1" t="s">
        <v>15</v>
      </c>
      <c r="B27" s="1">
        <f>MAX(B16:B25)</f>
        <v>17.511520737327199</v>
      </c>
      <c r="C27" s="1">
        <f t="shared" ref="C27:G27" si="40">MAX(C16:C25)</f>
        <v>21.428571428571399</v>
      </c>
      <c r="D27" s="1">
        <f t="shared" si="40"/>
        <v>33.035714285714299</v>
      </c>
      <c r="E27" s="1">
        <f t="shared" si="40"/>
        <v>41.269841269841301</v>
      </c>
      <c r="F27" s="1">
        <f t="shared" si="40"/>
        <v>80.538467847768999</v>
      </c>
      <c r="G27" s="1">
        <f t="shared" si="40"/>
        <v>92.474866422947102</v>
      </c>
      <c r="I27" s="1">
        <f>MAX(I16:I25)</f>
        <v>16.5898617511521</v>
      </c>
      <c r="J27" s="1">
        <f t="shared" ref="J27:N27" si="41">MAX(J16:J25)</f>
        <v>19.047619047619001</v>
      </c>
      <c r="K27" s="1">
        <f t="shared" si="41"/>
        <v>42.009132420091298</v>
      </c>
      <c r="L27" s="1">
        <f t="shared" si="41"/>
        <v>47.619047619047599</v>
      </c>
      <c r="M27" s="1">
        <f t="shared" si="41"/>
        <v>85.634315241844803</v>
      </c>
      <c r="N27" s="1">
        <f t="shared" si="41"/>
        <v>84.575951443569593</v>
      </c>
      <c r="P27" s="1">
        <f>MAX(P16:P25)</f>
        <v>25.700934579439199</v>
      </c>
      <c r="Q27" s="1">
        <f t="shared" ref="Q27:U27" si="42">MAX(Q16:Q25)</f>
        <v>27.7777777777778</v>
      </c>
      <c r="R27" s="1">
        <f t="shared" si="42"/>
        <v>45.754716981132098</v>
      </c>
      <c r="S27" s="1">
        <f t="shared" si="42"/>
        <v>44.4444444444444</v>
      </c>
      <c r="T27" s="1">
        <f t="shared" si="42"/>
        <v>65.877214566929098</v>
      </c>
      <c r="U27" s="1">
        <f t="shared" si="42"/>
        <v>96.123629077615306</v>
      </c>
      <c r="W27" s="1">
        <f>MAX(W16:W25)</f>
        <v>15.5963302752294</v>
      </c>
      <c r="X27" s="1">
        <f t="shared" ref="X27:AB27" si="43">MAX(X16:X25)</f>
        <v>19.047619047619001</v>
      </c>
      <c r="Y27" s="1">
        <f t="shared" si="43"/>
        <v>48.325358851674601</v>
      </c>
      <c r="Z27" s="1">
        <f t="shared" si="43"/>
        <v>50</v>
      </c>
      <c r="AA27" s="1">
        <f t="shared" si="43"/>
        <v>88.743203974503203</v>
      </c>
      <c r="AB27" s="1">
        <f t="shared" si="43"/>
        <v>88.513838113985798</v>
      </c>
    </row>
    <row r="28" spans="1:28" s="1" customFormat="1" x14ac:dyDescent="0.45"/>
    <row r="29" spans="1:28" x14ac:dyDescent="0.45">
      <c r="A29" t="s">
        <v>12</v>
      </c>
      <c r="B29">
        <v>10.849056603773599</v>
      </c>
      <c r="C29">
        <v>12.698412698412699</v>
      </c>
      <c r="D29">
        <v>36.792452830188701</v>
      </c>
      <c r="E29">
        <v>43.650793650793702</v>
      </c>
      <c r="F29">
        <v>52.027383295838</v>
      </c>
      <c r="G29">
        <v>40.4943522684664</v>
      </c>
      <c r="I29">
        <v>12.6760563380282</v>
      </c>
      <c r="J29">
        <v>17.460317460317501</v>
      </c>
      <c r="K29">
        <v>42.723004694835701</v>
      </c>
      <c r="L29">
        <v>48.412698412698397</v>
      </c>
      <c r="M29">
        <v>50.963746719160099</v>
      </c>
      <c r="N29">
        <v>54.174575834270698</v>
      </c>
      <c r="P29">
        <v>22.2222222222222</v>
      </c>
      <c r="Q29">
        <v>28.571428571428601</v>
      </c>
      <c r="R29">
        <v>43.981481481481502</v>
      </c>
      <c r="S29">
        <v>46.031746031746003</v>
      </c>
      <c r="T29">
        <v>39.845214660667402</v>
      </c>
      <c r="U29">
        <v>43.779293213348303</v>
      </c>
      <c r="W29">
        <v>8.5972850678732993</v>
      </c>
      <c r="X29">
        <v>12.698412698412699</v>
      </c>
      <c r="Y29">
        <v>28.959276018099601</v>
      </c>
      <c r="Z29">
        <v>35.714285714285701</v>
      </c>
      <c r="AA29">
        <v>59.124543025871802</v>
      </c>
      <c r="AB29">
        <v>65.176227971503593</v>
      </c>
    </row>
    <row r="30" spans="1:28" x14ac:dyDescent="0.45">
      <c r="B30">
        <v>8.1818181818181799</v>
      </c>
      <c r="C30">
        <v>11.1111111111111</v>
      </c>
      <c r="D30">
        <v>20.454545454545499</v>
      </c>
      <c r="E30">
        <v>30.952380952380999</v>
      </c>
      <c r="F30">
        <v>70.323045556805397</v>
      </c>
      <c r="G30">
        <v>98.9431008623922</v>
      </c>
      <c r="I30">
        <v>13.963963963964</v>
      </c>
      <c r="J30">
        <v>18.253968253968299</v>
      </c>
      <c r="K30">
        <v>34.684684684684697</v>
      </c>
      <c r="L30">
        <v>50.793650793650798</v>
      </c>
      <c r="M30">
        <v>59.514435695538097</v>
      </c>
      <c r="N30">
        <v>93.505401668541396</v>
      </c>
      <c r="P30">
        <v>13.679245283018901</v>
      </c>
      <c r="Q30">
        <v>15.0793650793651</v>
      </c>
      <c r="R30">
        <v>46.2264150943396</v>
      </c>
      <c r="S30">
        <v>53.174603174603199</v>
      </c>
      <c r="T30">
        <v>82.279656449193894</v>
      </c>
      <c r="U30">
        <v>48.6410878327709</v>
      </c>
      <c r="W30">
        <v>17.351598173515999</v>
      </c>
      <c r="X30">
        <v>21.428571428571399</v>
      </c>
      <c r="Y30">
        <v>31.5068493150685</v>
      </c>
      <c r="Z30">
        <v>42.857142857142897</v>
      </c>
      <c r="AA30">
        <v>47.066284683164596</v>
      </c>
      <c r="AB30">
        <v>94.121437945256801</v>
      </c>
    </row>
    <row r="31" spans="1:28" x14ac:dyDescent="0.45">
      <c r="B31">
        <v>6.9444444444444402</v>
      </c>
      <c r="C31">
        <v>9.5238095238095202</v>
      </c>
      <c r="D31">
        <v>24.074074074074101</v>
      </c>
      <c r="E31">
        <v>30.952380952380999</v>
      </c>
      <c r="F31">
        <v>63.043974971878498</v>
      </c>
      <c r="G31">
        <v>69.011881327334095</v>
      </c>
      <c r="I31">
        <v>11.160714285714301</v>
      </c>
      <c r="J31">
        <v>14.285714285714301</v>
      </c>
      <c r="K31">
        <v>32.589285714285701</v>
      </c>
      <c r="L31">
        <v>39.682539682539698</v>
      </c>
      <c r="M31">
        <v>52.507206130483702</v>
      </c>
      <c r="N31">
        <v>94.888920134983096</v>
      </c>
      <c r="P31">
        <v>11.2676056338028</v>
      </c>
      <c r="Q31">
        <v>13.492063492063499</v>
      </c>
      <c r="R31">
        <v>55.868544600939003</v>
      </c>
      <c r="S31">
        <v>56.349206349206298</v>
      </c>
      <c r="T31">
        <v>61.492606392950897</v>
      </c>
      <c r="U31">
        <v>47.792463442069703</v>
      </c>
      <c r="W31">
        <v>11.1111111111111</v>
      </c>
      <c r="X31">
        <v>12.698412698412699</v>
      </c>
      <c r="Y31">
        <v>36.1111111111111</v>
      </c>
      <c r="Z31">
        <v>45.238095238095198</v>
      </c>
      <c r="AA31">
        <v>45.972769028871397</v>
      </c>
      <c r="AB31">
        <v>75.635076865391795</v>
      </c>
    </row>
    <row r="32" spans="1:28" x14ac:dyDescent="0.45">
      <c r="B32">
        <v>19.4570135746606</v>
      </c>
      <c r="C32">
        <v>20.634920634920601</v>
      </c>
      <c r="D32">
        <v>25.339366515837099</v>
      </c>
      <c r="E32">
        <v>30.158730158730201</v>
      </c>
      <c r="F32">
        <v>42.637736689163901</v>
      </c>
      <c r="G32">
        <v>74.103627671541105</v>
      </c>
      <c r="I32">
        <v>11.818181818181801</v>
      </c>
      <c r="J32">
        <v>11.1111111111111</v>
      </c>
      <c r="K32">
        <v>37.727272727272698</v>
      </c>
      <c r="L32">
        <v>41.269841269841301</v>
      </c>
      <c r="M32">
        <v>50.576197506561698</v>
      </c>
      <c r="N32">
        <v>56.460618203974498</v>
      </c>
      <c r="P32">
        <v>20.091324200913199</v>
      </c>
      <c r="Q32">
        <v>25.396825396825399</v>
      </c>
      <c r="R32">
        <v>37.899543378995403</v>
      </c>
      <c r="S32">
        <v>38.8888888888889</v>
      </c>
      <c r="T32">
        <v>49.367559523809497</v>
      </c>
      <c r="U32">
        <v>51.829947037870298</v>
      </c>
      <c r="W32">
        <v>15.5963302752294</v>
      </c>
      <c r="X32">
        <v>20.634920634920601</v>
      </c>
      <c r="Y32">
        <v>30.7339449541284</v>
      </c>
      <c r="Z32">
        <v>38.8888888888889</v>
      </c>
      <c r="AA32">
        <v>48.438964660667402</v>
      </c>
      <c r="AB32">
        <v>69.717847769028893</v>
      </c>
    </row>
    <row r="33" spans="1:28" x14ac:dyDescent="0.45">
      <c r="B33">
        <v>17.431192660550501</v>
      </c>
      <c r="C33">
        <v>20.634920634920601</v>
      </c>
      <c r="D33">
        <v>35.321100917431203</v>
      </c>
      <c r="E33">
        <v>41.269841269841301</v>
      </c>
      <c r="F33">
        <v>39.964145106861601</v>
      </c>
      <c r="G33">
        <v>93.306793682039697</v>
      </c>
      <c r="I33">
        <v>12.2171945701357</v>
      </c>
      <c r="J33">
        <v>16.6666666666667</v>
      </c>
      <c r="K33">
        <v>28.054298642533901</v>
      </c>
      <c r="L33">
        <v>41.269841269841301</v>
      </c>
      <c r="M33">
        <v>58.908944975628003</v>
      </c>
      <c r="N33">
        <v>89.916104236970398</v>
      </c>
      <c r="P33">
        <v>13.636363636363599</v>
      </c>
      <c r="Q33">
        <v>17.460317460317501</v>
      </c>
      <c r="R33">
        <v>24.545454545454501</v>
      </c>
      <c r="S33">
        <v>34.126984126984098</v>
      </c>
      <c r="T33">
        <v>49.073162729658797</v>
      </c>
      <c r="U33">
        <v>77.298052587176599</v>
      </c>
      <c r="W33">
        <v>3.1674208144796401</v>
      </c>
      <c r="X33">
        <v>3.9682539682539701</v>
      </c>
      <c r="Y33">
        <v>29.411764705882401</v>
      </c>
      <c r="Z33">
        <v>38.095238095238102</v>
      </c>
      <c r="AA33">
        <v>86.572576865391795</v>
      </c>
      <c r="AB33">
        <v>96.181922572178493</v>
      </c>
    </row>
    <row r="34" spans="1:28" x14ac:dyDescent="0.45">
      <c r="B34">
        <v>7.20720720720721</v>
      </c>
      <c r="C34">
        <v>11.9047619047619</v>
      </c>
      <c r="D34">
        <v>18.918918918918902</v>
      </c>
      <c r="E34">
        <v>29.365079365079399</v>
      </c>
      <c r="F34">
        <v>81.334950318710199</v>
      </c>
      <c r="G34">
        <v>96.668482845894303</v>
      </c>
      <c r="I34">
        <v>18.834080717488799</v>
      </c>
      <c r="J34">
        <v>19.841269841269799</v>
      </c>
      <c r="K34">
        <v>37.219730941704</v>
      </c>
      <c r="L34">
        <v>40.476190476190503</v>
      </c>
      <c r="M34">
        <v>46.890818335208102</v>
      </c>
      <c r="N34">
        <v>90.508705943007101</v>
      </c>
      <c r="P34">
        <v>12.037037037037001</v>
      </c>
      <c r="Q34">
        <v>15.0793650793651</v>
      </c>
      <c r="R34">
        <v>39.814814814814802</v>
      </c>
      <c r="S34">
        <v>42.063492063492099</v>
      </c>
      <c r="T34">
        <v>48.876898200225</v>
      </c>
      <c r="U34">
        <v>63.774840644919401</v>
      </c>
      <c r="W34">
        <v>9.2592592592592595</v>
      </c>
      <c r="X34">
        <v>13.492063492063499</v>
      </c>
      <c r="Y34">
        <v>37.962962962962997</v>
      </c>
      <c r="Z34">
        <v>44.4444444444444</v>
      </c>
      <c r="AA34">
        <v>52.334376171728501</v>
      </c>
      <c r="AB34">
        <v>96.3541666666667</v>
      </c>
    </row>
    <row r="35" spans="1:28" x14ac:dyDescent="0.45">
      <c r="B35">
        <v>17.194570135746599</v>
      </c>
      <c r="C35">
        <v>23.015873015873002</v>
      </c>
      <c r="D35">
        <v>25.339366515837099</v>
      </c>
      <c r="E35">
        <v>38.095238095238102</v>
      </c>
      <c r="F35">
        <v>62.3787260967379</v>
      </c>
      <c r="G35">
        <v>99.316882264716895</v>
      </c>
      <c r="I35">
        <v>16.504854368932001</v>
      </c>
      <c r="J35">
        <v>17.460317460317501</v>
      </c>
      <c r="K35">
        <v>45.145631067961197</v>
      </c>
      <c r="L35">
        <v>55.5555555555556</v>
      </c>
      <c r="M35">
        <v>75.091980689913797</v>
      </c>
      <c r="N35">
        <v>64.638404574428193</v>
      </c>
      <c r="P35">
        <v>9.5890410958904102</v>
      </c>
      <c r="Q35">
        <v>8.7301587301587293</v>
      </c>
      <c r="R35">
        <v>38.356164383561598</v>
      </c>
      <c r="S35">
        <v>40.476190476190503</v>
      </c>
      <c r="T35">
        <v>53.883108361454802</v>
      </c>
      <c r="U35">
        <v>47.808281777277799</v>
      </c>
      <c r="W35">
        <v>15.454545454545499</v>
      </c>
      <c r="X35">
        <v>15.0793650793651</v>
      </c>
      <c r="Y35">
        <v>32.272727272727302</v>
      </c>
      <c r="Z35">
        <v>45.238095238095198</v>
      </c>
      <c r="AA35">
        <v>41.954911886014301</v>
      </c>
      <c r="AB35">
        <v>91.568534401949805</v>
      </c>
    </row>
    <row r="36" spans="1:28" x14ac:dyDescent="0.45">
      <c r="B36">
        <v>13.242009132420099</v>
      </c>
      <c r="C36">
        <v>13.492063492063499</v>
      </c>
      <c r="D36">
        <v>22.374429223744301</v>
      </c>
      <c r="E36">
        <v>30.952380952380999</v>
      </c>
      <c r="F36">
        <v>40.557039745031901</v>
      </c>
      <c r="G36">
        <v>54.439972347206599</v>
      </c>
      <c r="I36">
        <v>9.5022624434389105</v>
      </c>
      <c r="J36">
        <v>12.698412698412699</v>
      </c>
      <c r="K36">
        <v>23.981900452488699</v>
      </c>
      <c r="L36">
        <v>27.7777777777778</v>
      </c>
      <c r="M36">
        <v>71.7121297337833</v>
      </c>
      <c r="N36">
        <v>73.036475909261299</v>
      </c>
      <c r="P36">
        <v>14.932126696832601</v>
      </c>
      <c r="Q36">
        <v>15.0793650793651</v>
      </c>
      <c r="R36">
        <v>37.556561085972902</v>
      </c>
      <c r="S36">
        <v>39.682539682539698</v>
      </c>
      <c r="T36">
        <v>45.275883483314601</v>
      </c>
      <c r="U36">
        <v>91.984205099362597</v>
      </c>
      <c r="W36">
        <v>23.287671232876701</v>
      </c>
      <c r="X36">
        <v>25.396825396825399</v>
      </c>
      <c r="Y36">
        <v>47.945205479452</v>
      </c>
      <c r="Z36">
        <v>54.761904761904802</v>
      </c>
      <c r="AA36">
        <v>51.355396981627301</v>
      </c>
      <c r="AB36">
        <v>42.604049493813299</v>
      </c>
    </row>
    <row r="37" spans="1:28" x14ac:dyDescent="0.45">
      <c r="B37">
        <v>11.1111111111111</v>
      </c>
      <c r="C37">
        <v>15.0793650793651</v>
      </c>
      <c r="D37">
        <v>39.814814814814802</v>
      </c>
      <c r="E37">
        <v>50.793650793650798</v>
      </c>
      <c r="F37">
        <v>50.426509186351701</v>
      </c>
      <c r="G37">
        <v>69.220449006374196</v>
      </c>
      <c r="I37">
        <v>8.6757990867579906</v>
      </c>
      <c r="J37">
        <v>11.1111111111111</v>
      </c>
      <c r="K37">
        <v>38.8127853881278</v>
      </c>
      <c r="L37">
        <v>49.206349206349202</v>
      </c>
      <c r="M37">
        <v>63.627495781777299</v>
      </c>
      <c r="N37">
        <v>98.400883483314601</v>
      </c>
      <c r="P37">
        <v>12.1076233183857</v>
      </c>
      <c r="Q37">
        <v>12.698412698412699</v>
      </c>
      <c r="R37">
        <v>29.596412556053799</v>
      </c>
      <c r="S37">
        <v>36.507936507936499</v>
      </c>
      <c r="T37">
        <v>48.023001031121098</v>
      </c>
      <c r="U37">
        <v>58.326010029996198</v>
      </c>
      <c r="W37">
        <v>19.907407407407401</v>
      </c>
      <c r="X37">
        <v>17.460317460317501</v>
      </c>
      <c r="Y37">
        <v>31.9444444444444</v>
      </c>
      <c r="Z37">
        <v>34.920634920634903</v>
      </c>
      <c r="AA37">
        <v>46.795908323959502</v>
      </c>
      <c r="AB37">
        <v>76.113727971503593</v>
      </c>
    </row>
    <row r="38" spans="1:28" x14ac:dyDescent="0.45">
      <c r="B38">
        <v>16.203703703703699</v>
      </c>
      <c r="C38">
        <v>13.492063492063499</v>
      </c>
      <c r="D38">
        <v>42.592592592592602</v>
      </c>
      <c r="E38">
        <v>53.968253968253997</v>
      </c>
      <c r="F38">
        <v>47.1345378702662</v>
      </c>
      <c r="G38">
        <v>96.220882545931801</v>
      </c>
      <c r="I38">
        <v>19.5555555555556</v>
      </c>
      <c r="J38">
        <v>21.428571428571399</v>
      </c>
      <c r="K38">
        <v>33.3333333333333</v>
      </c>
      <c r="L38">
        <v>38.095238095238102</v>
      </c>
      <c r="M38">
        <v>50.561843832020998</v>
      </c>
      <c r="N38">
        <v>61.167744656917897</v>
      </c>
      <c r="P38">
        <v>13.5514018691589</v>
      </c>
      <c r="Q38">
        <v>17.460317460317501</v>
      </c>
      <c r="R38">
        <v>49.532710280373799</v>
      </c>
      <c r="S38">
        <v>64.285714285714306</v>
      </c>
      <c r="T38">
        <v>43.602655136857898</v>
      </c>
      <c r="U38">
        <v>66.584938601424795</v>
      </c>
      <c r="W38">
        <v>7.6923076923076898</v>
      </c>
      <c r="X38">
        <v>11.1111111111111</v>
      </c>
      <c r="Y38">
        <v>38.942307692307701</v>
      </c>
      <c r="Z38">
        <v>43.650793650793702</v>
      </c>
      <c r="AA38">
        <v>89.905558680165001</v>
      </c>
      <c r="AB38">
        <v>55.060109673790798</v>
      </c>
    </row>
    <row r="39" spans="1:28" s="1" customFormat="1" x14ac:dyDescent="0.45">
      <c r="A39" s="1" t="s">
        <v>14</v>
      </c>
      <c r="B39" s="1">
        <f>AVERAGE(B29:B38)</f>
        <v>12.782212675543601</v>
      </c>
      <c r="C39" s="1">
        <f t="shared" ref="C39" si="44">AVERAGE(C29:C38)</f>
        <v>15.158730158730151</v>
      </c>
      <c r="D39" s="1">
        <f t="shared" ref="D39" si="45">AVERAGE(D29:D38)</f>
        <v>29.102166185798431</v>
      </c>
      <c r="E39" s="1">
        <f t="shared" ref="E39" si="46">AVERAGE(E29:E38)</f>
        <v>38.015873015873048</v>
      </c>
      <c r="F39" s="1">
        <f t="shared" ref="F39" si="47">AVERAGE(F29:F38)</f>
        <v>54.982804883764537</v>
      </c>
      <c r="G39" s="1">
        <f t="shared" ref="G39" si="48">AVERAGE(G29:G38)</f>
        <v>79.17264248218973</v>
      </c>
      <c r="I39" s="1">
        <f>AVERAGE(I29:I38)</f>
        <v>13.490866314819732</v>
      </c>
      <c r="J39" s="1">
        <f t="shared" ref="J39" si="49">AVERAGE(J29:J38)</f>
        <v>16.031746031746039</v>
      </c>
      <c r="K39" s="1">
        <f t="shared" ref="K39" si="50">AVERAGE(K29:K38)</f>
        <v>35.427192764722761</v>
      </c>
      <c r="L39" s="1">
        <f t="shared" ref="L39" si="51">AVERAGE(L29:L38)</f>
        <v>43.253968253968274</v>
      </c>
      <c r="M39" s="1">
        <f t="shared" ref="M39" si="52">AVERAGE(M29:M38)</f>
        <v>58.035479940007505</v>
      </c>
      <c r="N39" s="1">
        <f t="shared" ref="N39" si="53">AVERAGE(N29:N38)</f>
        <v>77.669783464566919</v>
      </c>
      <c r="P39" s="1">
        <f>AVERAGE(P29:P38)</f>
        <v>14.311399099362529</v>
      </c>
      <c r="Q39" s="1">
        <f t="shared" ref="Q39" si="54">AVERAGE(Q29:Q38)</f>
        <v>16.904761904761923</v>
      </c>
      <c r="R39" s="1">
        <f t="shared" ref="R39" si="55">AVERAGE(R29:R38)</f>
        <v>40.337810222198691</v>
      </c>
      <c r="S39" s="1">
        <f t="shared" ref="S39" si="56">AVERAGE(S29:S38)</f>
        <v>45.158730158730158</v>
      </c>
      <c r="T39" s="1">
        <f t="shared" ref="T39" si="57">AVERAGE(T29:T38)</f>
        <v>52.171974596925395</v>
      </c>
      <c r="U39" s="1">
        <f t="shared" ref="U39" si="58">AVERAGE(U29:U38)</f>
        <v>59.781912026621661</v>
      </c>
      <c r="W39" s="1">
        <f>AVERAGE(W29:W38)</f>
        <v>13.142493648860599</v>
      </c>
      <c r="X39" s="1">
        <f t="shared" ref="X39" si="59">AVERAGE(X29:X38)</f>
        <v>15.396825396825397</v>
      </c>
      <c r="Y39" s="1">
        <f t="shared" ref="Y39" si="60">AVERAGE(Y29:Y38)</f>
        <v>34.579059395618437</v>
      </c>
      <c r="Z39" s="1">
        <f t="shared" ref="Z39" si="61">AVERAGE(Z29:Z38)</f>
        <v>42.380952380952387</v>
      </c>
      <c r="AA39" s="1">
        <f t="shared" ref="AA39" si="62">AVERAGE(AA29:AA38)</f>
        <v>56.952129030746164</v>
      </c>
      <c r="AB39" s="1">
        <f t="shared" ref="AB39" si="63">AVERAGE(AB29:AB38)</f>
        <v>76.253310133108371</v>
      </c>
    </row>
    <row r="40" spans="1:28" s="1" customFormat="1" x14ac:dyDescent="0.45">
      <c r="A40" s="1" t="s">
        <v>15</v>
      </c>
      <c r="B40" s="1">
        <f>MAX(B29:B38)</f>
        <v>19.4570135746606</v>
      </c>
      <c r="C40" s="1">
        <f t="shared" ref="C40:G40" si="64">MAX(C29:C38)</f>
        <v>23.015873015873002</v>
      </c>
      <c r="D40" s="1">
        <f t="shared" si="64"/>
        <v>42.592592592592602</v>
      </c>
      <c r="E40" s="1">
        <f t="shared" si="64"/>
        <v>53.968253968253997</v>
      </c>
      <c r="F40" s="1">
        <f t="shared" si="64"/>
        <v>81.334950318710199</v>
      </c>
      <c r="G40" s="1">
        <f t="shared" si="64"/>
        <v>99.316882264716895</v>
      </c>
      <c r="I40" s="1">
        <f>MAX(I29:I38)</f>
        <v>19.5555555555556</v>
      </c>
      <c r="J40" s="1">
        <f t="shared" ref="J40:N40" si="65">MAX(J29:J38)</f>
        <v>21.428571428571399</v>
      </c>
      <c r="K40" s="1">
        <f t="shared" si="65"/>
        <v>45.145631067961197</v>
      </c>
      <c r="L40" s="1">
        <f t="shared" si="65"/>
        <v>55.5555555555556</v>
      </c>
      <c r="M40" s="1">
        <f t="shared" si="65"/>
        <v>75.091980689913797</v>
      </c>
      <c r="N40" s="1">
        <f t="shared" si="65"/>
        <v>98.400883483314601</v>
      </c>
      <c r="P40" s="1">
        <f>MAX(P29:P38)</f>
        <v>22.2222222222222</v>
      </c>
      <c r="Q40" s="1">
        <f t="shared" ref="Q40:U40" si="66">MAX(Q29:Q38)</f>
        <v>28.571428571428601</v>
      </c>
      <c r="R40" s="1">
        <f t="shared" si="66"/>
        <v>55.868544600939003</v>
      </c>
      <c r="S40" s="1">
        <f t="shared" si="66"/>
        <v>64.285714285714306</v>
      </c>
      <c r="T40" s="1">
        <f t="shared" si="66"/>
        <v>82.279656449193894</v>
      </c>
      <c r="U40" s="1">
        <f t="shared" si="66"/>
        <v>91.984205099362597</v>
      </c>
      <c r="W40" s="1">
        <f>MAX(W29:W38)</f>
        <v>23.287671232876701</v>
      </c>
      <c r="X40" s="1">
        <f t="shared" ref="X40:AB40" si="67">MAX(X29:X38)</f>
        <v>25.396825396825399</v>
      </c>
      <c r="Y40" s="1">
        <f t="shared" si="67"/>
        <v>47.945205479452</v>
      </c>
      <c r="Z40" s="1">
        <f t="shared" si="67"/>
        <v>54.761904761904802</v>
      </c>
      <c r="AA40" s="1">
        <f t="shared" si="67"/>
        <v>89.905558680165001</v>
      </c>
      <c r="AB40" s="1">
        <f t="shared" si="67"/>
        <v>96.3541666666667</v>
      </c>
    </row>
    <row r="41" spans="1:28" s="1" customFormat="1" x14ac:dyDescent="0.45"/>
    <row r="42" spans="1:28" x14ac:dyDescent="0.45">
      <c r="A42" t="s">
        <v>13</v>
      </c>
      <c r="B42">
        <v>11.0091743119266</v>
      </c>
      <c r="C42">
        <v>9.5238095238095202</v>
      </c>
      <c r="D42">
        <v>21.559633027522899</v>
      </c>
      <c r="E42">
        <v>30.158730158730201</v>
      </c>
      <c r="F42">
        <v>52.012443757030397</v>
      </c>
      <c r="G42">
        <v>70.049446944132001</v>
      </c>
      <c r="I42">
        <v>11.7117117117117</v>
      </c>
      <c r="J42">
        <v>16.6666666666667</v>
      </c>
      <c r="K42">
        <v>42.792792792792802</v>
      </c>
      <c r="L42">
        <v>50.793650793650798</v>
      </c>
      <c r="M42">
        <v>65.161288432695898</v>
      </c>
      <c r="N42">
        <v>62.521384045744298</v>
      </c>
      <c r="P42">
        <v>18.834080717488799</v>
      </c>
      <c r="Q42">
        <v>17.460317460317501</v>
      </c>
      <c r="R42">
        <v>28.251121076233201</v>
      </c>
      <c r="S42">
        <v>36.507936507936499</v>
      </c>
      <c r="T42">
        <v>59.208614548181501</v>
      </c>
      <c r="U42">
        <v>75.974585208099001</v>
      </c>
      <c r="W42">
        <v>4.0178571428571397</v>
      </c>
      <c r="X42">
        <v>6.3492063492063497</v>
      </c>
      <c r="Y42">
        <v>36.160714285714299</v>
      </c>
      <c r="Z42">
        <v>46.031746031746003</v>
      </c>
      <c r="AA42">
        <v>89.199006374203194</v>
      </c>
      <c r="AB42">
        <v>64.054590832395903</v>
      </c>
    </row>
    <row r="43" spans="1:28" x14ac:dyDescent="0.45">
      <c r="B43">
        <v>15.909090909090899</v>
      </c>
      <c r="C43">
        <v>19.047619047619001</v>
      </c>
      <c r="D43">
        <v>28.181818181818201</v>
      </c>
      <c r="E43">
        <v>36.507936507936499</v>
      </c>
      <c r="F43">
        <v>50.025485095613</v>
      </c>
      <c r="G43">
        <v>58.559769872515901</v>
      </c>
      <c r="I43">
        <v>9.2592592592592595</v>
      </c>
      <c r="J43">
        <v>10.3174603174603</v>
      </c>
      <c r="K43">
        <v>39.351851851851897</v>
      </c>
      <c r="L43">
        <v>46.031746031746003</v>
      </c>
      <c r="M43">
        <v>58.882874015748001</v>
      </c>
      <c r="N43">
        <v>71.469874859392604</v>
      </c>
      <c r="P43">
        <v>12.669683257918599</v>
      </c>
      <c r="Q43">
        <v>14.285714285714301</v>
      </c>
      <c r="R43">
        <v>23.981900452488699</v>
      </c>
      <c r="S43">
        <v>31.746031746031701</v>
      </c>
      <c r="T43">
        <v>53.553266779152601</v>
      </c>
      <c r="U43">
        <v>59.716851799775</v>
      </c>
      <c r="W43">
        <v>18.433179723502299</v>
      </c>
      <c r="X43">
        <v>21.428571428571399</v>
      </c>
      <c r="Y43">
        <v>29.953917050691199</v>
      </c>
      <c r="Z43">
        <v>39.682539682539698</v>
      </c>
      <c r="AA43">
        <v>40.788456130483702</v>
      </c>
      <c r="AB43">
        <v>56.488739688788897</v>
      </c>
    </row>
    <row r="44" spans="1:28" x14ac:dyDescent="0.45">
      <c r="B44">
        <v>8.2949308755760391</v>
      </c>
      <c r="C44">
        <v>7.1428571428571397</v>
      </c>
      <c r="D44">
        <v>27.649769585253502</v>
      </c>
      <c r="E44">
        <v>38.8888888888889</v>
      </c>
      <c r="F44">
        <v>69.1562968691414</v>
      </c>
      <c r="G44">
        <v>98.022708098987593</v>
      </c>
      <c r="I44">
        <v>15.094339622641501</v>
      </c>
      <c r="J44">
        <v>19.047619047619001</v>
      </c>
      <c r="K44">
        <v>42.452830188679201</v>
      </c>
      <c r="L44">
        <v>45.238095238095198</v>
      </c>
      <c r="M44">
        <v>48.116446381702303</v>
      </c>
      <c r="N44">
        <v>90.004862673415801</v>
      </c>
      <c r="P44">
        <v>13.1221719457014</v>
      </c>
      <c r="Q44">
        <v>18.253968253968299</v>
      </c>
      <c r="R44">
        <v>33.0316742081448</v>
      </c>
      <c r="S44">
        <v>37.301587301587297</v>
      </c>
      <c r="T44">
        <v>49.6232892763405</v>
      </c>
      <c r="U44">
        <v>55.1752320022497</v>
      </c>
      <c r="W44">
        <v>11.764705882352899</v>
      </c>
      <c r="X44">
        <v>11.1111111111111</v>
      </c>
      <c r="Y44">
        <v>35.746606334841601</v>
      </c>
      <c r="Z44">
        <v>38.095238095238102</v>
      </c>
      <c r="AA44">
        <v>75.214426321709794</v>
      </c>
      <c r="AB44">
        <v>50.464883295838</v>
      </c>
    </row>
    <row r="45" spans="1:28" x14ac:dyDescent="0.45">
      <c r="B45">
        <v>8.8888888888888893</v>
      </c>
      <c r="C45">
        <v>10.3174603174603</v>
      </c>
      <c r="D45">
        <v>24.8888888888889</v>
      </c>
      <c r="E45">
        <v>37.301587301587297</v>
      </c>
      <c r="F45">
        <v>78.211122047244103</v>
      </c>
      <c r="G45">
        <v>63.434453505811803</v>
      </c>
      <c r="I45">
        <v>22.831050228310499</v>
      </c>
      <c r="J45">
        <v>23.8095238095238</v>
      </c>
      <c r="K45">
        <v>31.050228310502298</v>
      </c>
      <c r="L45">
        <v>38.8888888888889</v>
      </c>
      <c r="M45">
        <v>42.037518747656499</v>
      </c>
      <c r="N45">
        <v>69.850546025496797</v>
      </c>
      <c r="P45">
        <v>15.1376146788991</v>
      </c>
      <c r="Q45">
        <v>18.253968253968299</v>
      </c>
      <c r="R45">
        <v>55.045871559632999</v>
      </c>
      <c r="S45">
        <v>54.761904761904802</v>
      </c>
      <c r="T45">
        <v>85.739477877765296</v>
      </c>
      <c r="U45">
        <v>35.438636576677901</v>
      </c>
      <c r="W45">
        <v>15.068493150684899</v>
      </c>
      <c r="X45">
        <v>15.8730158730159</v>
      </c>
      <c r="Y45">
        <v>31.963470319634698</v>
      </c>
      <c r="Z45">
        <v>42.063492063492099</v>
      </c>
      <c r="AA45">
        <v>46.275367922759699</v>
      </c>
      <c r="AB45">
        <v>51.783370828646397</v>
      </c>
    </row>
    <row r="46" spans="1:28" x14ac:dyDescent="0.45">
      <c r="B46">
        <v>13.679245283018901</v>
      </c>
      <c r="C46">
        <v>19.047619047619001</v>
      </c>
      <c r="D46">
        <v>25.471698113207498</v>
      </c>
      <c r="E46">
        <v>39.682539682539698</v>
      </c>
      <c r="F46">
        <v>50.782421728533897</v>
      </c>
      <c r="G46">
        <v>98.869574896887897</v>
      </c>
      <c r="I46">
        <v>22.580645161290299</v>
      </c>
      <c r="J46">
        <v>25.396825396825399</v>
      </c>
      <c r="K46">
        <v>33.640552995391701</v>
      </c>
      <c r="L46">
        <v>42.063492063492099</v>
      </c>
      <c r="M46">
        <v>54.696580896138002</v>
      </c>
      <c r="N46">
        <v>61.0368039932508</v>
      </c>
      <c r="P46">
        <v>10.0456621004566</v>
      </c>
      <c r="Q46">
        <v>15.0793650793651</v>
      </c>
      <c r="R46">
        <v>39.269406392694101</v>
      </c>
      <c r="S46">
        <v>49.206349206349202</v>
      </c>
      <c r="T46">
        <v>72.501288901387298</v>
      </c>
      <c r="U46">
        <v>65.592484533183395</v>
      </c>
      <c r="W46">
        <v>17.647058823529399</v>
      </c>
      <c r="X46">
        <v>19.841269841269799</v>
      </c>
      <c r="Y46">
        <v>28.506787330316701</v>
      </c>
      <c r="Z46">
        <v>35.714285714285701</v>
      </c>
      <c r="AA46">
        <v>66.617161136107995</v>
      </c>
      <c r="AB46">
        <v>91.174540682414701</v>
      </c>
    </row>
    <row r="47" spans="1:28" x14ac:dyDescent="0.45">
      <c r="B47">
        <v>10.714285714285699</v>
      </c>
      <c r="C47">
        <v>11.1111111111111</v>
      </c>
      <c r="D47">
        <v>28.125</v>
      </c>
      <c r="E47">
        <v>35.714285714285701</v>
      </c>
      <c r="F47">
        <v>79.307859955005597</v>
      </c>
      <c r="G47">
        <v>57.010744750656201</v>
      </c>
      <c r="I47">
        <v>10.958904109589</v>
      </c>
      <c r="J47">
        <v>11.9047619047619</v>
      </c>
      <c r="K47">
        <v>34.703196347031998</v>
      </c>
      <c r="L47">
        <v>50</v>
      </c>
      <c r="M47">
        <v>63.789194319460101</v>
      </c>
      <c r="N47">
        <v>63.6875468691414</v>
      </c>
      <c r="P47">
        <v>19.634703196347001</v>
      </c>
      <c r="Q47">
        <v>22.2222222222222</v>
      </c>
      <c r="R47">
        <v>36.529680365296798</v>
      </c>
      <c r="S47">
        <v>50.793650793650798</v>
      </c>
      <c r="T47">
        <v>41.248359580052501</v>
      </c>
      <c r="U47">
        <v>69.309207442819599</v>
      </c>
      <c r="W47">
        <v>13.063063063063099</v>
      </c>
      <c r="X47">
        <v>11.9047619047619</v>
      </c>
      <c r="Y47">
        <v>40.990990990991001</v>
      </c>
      <c r="Z47">
        <v>50.793650793650798</v>
      </c>
      <c r="AA47">
        <v>58.8940054368204</v>
      </c>
      <c r="AB47">
        <v>62.975721784776901</v>
      </c>
    </row>
    <row r="48" spans="1:28" x14ac:dyDescent="0.45">
      <c r="B48">
        <v>18.433179723502299</v>
      </c>
      <c r="C48">
        <v>19.047619047619001</v>
      </c>
      <c r="D48">
        <v>29.493087557603701</v>
      </c>
      <c r="E48">
        <v>35.714285714285701</v>
      </c>
      <c r="F48">
        <v>48.061375140607403</v>
      </c>
      <c r="G48">
        <v>56.7614595050619</v>
      </c>
      <c r="I48">
        <v>12.3853211009174</v>
      </c>
      <c r="J48">
        <v>15.0793650793651</v>
      </c>
      <c r="K48">
        <v>36.238532110091697</v>
      </c>
      <c r="L48">
        <v>50.793650793650798</v>
      </c>
      <c r="M48">
        <v>53.240708192725897</v>
      </c>
      <c r="N48">
        <v>63.592929790026197</v>
      </c>
      <c r="P48">
        <v>7.3059360730593603</v>
      </c>
      <c r="Q48">
        <v>9.5238095238095202</v>
      </c>
      <c r="R48">
        <v>40.6392694063927</v>
      </c>
      <c r="S48">
        <v>46.031746031746003</v>
      </c>
      <c r="T48">
        <v>75.084071522309699</v>
      </c>
      <c r="U48">
        <v>77.552610611173606</v>
      </c>
      <c r="W48">
        <v>12.9032258064516</v>
      </c>
      <c r="X48">
        <v>11.9047619047619</v>
      </c>
      <c r="Y48">
        <v>33.640552995391701</v>
      </c>
      <c r="Z48">
        <v>46.825396825396801</v>
      </c>
      <c r="AA48">
        <v>72.2024981252343</v>
      </c>
      <c r="AB48">
        <v>99.356721034870603</v>
      </c>
    </row>
    <row r="49" spans="1:28" x14ac:dyDescent="0.45">
      <c r="B49">
        <v>17.924528301886799</v>
      </c>
      <c r="C49">
        <v>21.428571428571399</v>
      </c>
      <c r="D49">
        <v>34.905660377358501</v>
      </c>
      <c r="E49">
        <v>50</v>
      </c>
      <c r="F49">
        <v>54.265677727784002</v>
      </c>
      <c r="G49">
        <v>98.926696662917095</v>
      </c>
      <c r="I49">
        <v>7.6923076923076898</v>
      </c>
      <c r="J49">
        <v>12.698412698412699</v>
      </c>
      <c r="K49">
        <v>34.841628959276001</v>
      </c>
      <c r="L49">
        <v>45.238095238095198</v>
      </c>
      <c r="M49">
        <v>91.763627202849605</v>
      </c>
      <c r="N49">
        <v>64.560777559055097</v>
      </c>
      <c r="P49">
        <v>12.037037037037001</v>
      </c>
      <c r="Q49">
        <v>15.8730158730159</v>
      </c>
      <c r="R49">
        <v>43.518518518518498</v>
      </c>
      <c r="S49">
        <v>53.174603174603199</v>
      </c>
      <c r="T49">
        <v>59.888802962129702</v>
      </c>
      <c r="U49">
        <v>97.122527652793394</v>
      </c>
      <c r="W49">
        <v>15.1376146788991</v>
      </c>
      <c r="X49">
        <v>21.428571428571399</v>
      </c>
      <c r="Y49">
        <v>38.073394495412799</v>
      </c>
      <c r="Z49">
        <v>44.4444444444444</v>
      </c>
      <c r="AA49">
        <v>54.555094675665501</v>
      </c>
      <c r="AB49">
        <v>55.996027840270003</v>
      </c>
    </row>
    <row r="50" spans="1:28" x14ac:dyDescent="0.45">
      <c r="B50">
        <v>11.9815668202765</v>
      </c>
      <c r="C50">
        <v>13.492063492063499</v>
      </c>
      <c r="D50">
        <v>23.502304147465399</v>
      </c>
      <c r="E50">
        <v>32.539682539682502</v>
      </c>
      <c r="F50">
        <v>72.407843550806106</v>
      </c>
      <c r="G50">
        <v>74.939655980502394</v>
      </c>
      <c r="I50">
        <v>17.647058823529399</v>
      </c>
      <c r="J50">
        <v>19.841269841269799</v>
      </c>
      <c r="K50">
        <v>26.2443438914027</v>
      </c>
      <c r="L50">
        <v>35.714285714285701</v>
      </c>
      <c r="M50">
        <v>46.929778308961403</v>
      </c>
      <c r="N50">
        <v>75.2434266029246</v>
      </c>
      <c r="P50">
        <v>12.1495327102804</v>
      </c>
      <c r="Q50">
        <v>16.6666666666667</v>
      </c>
      <c r="R50">
        <v>52.803738317757002</v>
      </c>
      <c r="S50">
        <v>63.492063492063501</v>
      </c>
      <c r="T50">
        <v>70.958708286464201</v>
      </c>
      <c r="U50">
        <v>47.711907105361803</v>
      </c>
      <c r="W50">
        <v>13.698630136986299</v>
      </c>
      <c r="X50">
        <v>15.0793650793651</v>
      </c>
      <c r="Y50">
        <v>24.657534246575299</v>
      </c>
      <c r="Z50">
        <v>35.714285714285701</v>
      </c>
      <c r="AA50">
        <v>52.1079396325459</v>
      </c>
      <c r="AB50">
        <v>95.4923603299588</v>
      </c>
    </row>
    <row r="51" spans="1:28" x14ac:dyDescent="0.45">
      <c r="B51">
        <v>16.9724770642202</v>
      </c>
      <c r="C51">
        <v>15.8730158730159</v>
      </c>
      <c r="D51">
        <v>38.5321100917431</v>
      </c>
      <c r="E51">
        <v>48.412698412698397</v>
      </c>
      <c r="F51">
        <v>51.242618110236201</v>
      </c>
      <c r="G51">
        <v>90.154550993625804</v>
      </c>
      <c r="I51">
        <v>10.6976744186047</v>
      </c>
      <c r="J51">
        <v>15.8730158730159</v>
      </c>
      <c r="K51">
        <v>30.697674418604699</v>
      </c>
      <c r="L51">
        <v>42.857142857142897</v>
      </c>
      <c r="M51">
        <v>50.486267341582298</v>
      </c>
      <c r="N51">
        <v>98.225124203224595</v>
      </c>
      <c r="P51">
        <v>16.055045871559599</v>
      </c>
      <c r="Q51">
        <v>20.634920634920601</v>
      </c>
      <c r="R51">
        <v>44.4954128440367</v>
      </c>
      <c r="S51">
        <v>53.968253968253997</v>
      </c>
      <c r="T51">
        <v>45.203822178477701</v>
      </c>
      <c r="U51">
        <v>82.373687664041995</v>
      </c>
      <c r="W51">
        <v>20.642201834862401</v>
      </c>
      <c r="X51">
        <v>20.634920634920601</v>
      </c>
      <c r="Y51">
        <v>33.0275229357798</v>
      </c>
      <c r="Z51">
        <v>38.095238095238102</v>
      </c>
      <c r="AA51">
        <v>41.515806617922799</v>
      </c>
      <c r="AB51">
        <v>45.960758811398598</v>
      </c>
    </row>
    <row r="52" spans="1:28" s="1" customFormat="1" x14ac:dyDescent="0.45">
      <c r="A52" s="1" t="s">
        <v>14</v>
      </c>
      <c r="B52" s="1">
        <f>AVERAGE(B42:B51)</f>
        <v>13.38073678926728</v>
      </c>
      <c r="C52" s="1">
        <f t="shared" ref="C52" si="68">AVERAGE(C42:C51)</f>
        <v>14.603174603174589</v>
      </c>
      <c r="D52" s="1">
        <f t="shared" ref="D52" si="69">AVERAGE(D42:D51)</f>
        <v>28.230996997086169</v>
      </c>
      <c r="E52" s="1">
        <f t="shared" ref="E52" si="70">AVERAGE(E42:E51)</f>
        <v>38.492063492063487</v>
      </c>
      <c r="F52" s="1">
        <f t="shared" ref="F52" si="71">AVERAGE(F42:F51)</f>
        <v>60.547314398200214</v>
      </c>
      <c r="G52" s="1">
        <f t="shared" ref="G52" si="72">AVERAGE(G42:G51)</f>
        <v>76.672906121109861</v>
      </c>
      <c r="I52" s="1">
        <f>AVERAGE(I42:I51)</f>
        <v>14.085827212816142</v>
      </c>
      <c r="J52" s="1">
        <f t="shared" ref="J52" si="73">AVERAGE(J42:J51)</f>
        <v>17.06349206349206</v>
      </c>
      <c r="K52" s="1">
        <f t="shared" ref="K52" si="74">AVERAGE(K42:K51)</f>
        <v>35.201363186562503</v>
      </c>
      <c r="L52" s="1">
        <f t="shared" ref="L52" si="75">AVERAGE(L42:L51)</f>
        <v>44.761904761904759</v>
      </c>
      <c r="M52" s="1">
        <f t="shared" ref="M52" si="76">AVERAGE(M42:M51)</f>
        <v>57.510428383952004</v>
      </c>
      <c r="N52" s="1">
        <f t="shared" ref="N52" si="77">AVERAGE(N42:N51)</f>
        <v>72.019327662167214</v>
      </c>
      <c r="P52" s="1">
        <f>AVERAGE(P42:P51)</f>
        <v>13.699146758874786</v>
      </c>
      <c r="Q52" s="1">
        <f t="shared" ref="Q52" si="78">AVERAGE(Q42:Q51)</f>
        <v>16.825396825396844</v>
      </c>
      <c r="R52" s="1">
        <f t="shared" ref="R52" si="79">AVERAGE(R42:R51)</f>
        <v>39.756659314119545</v>
      </c>
      <c r="S52" s="1">
        <f t="shared" ref="S52" si="80">AVERAGE(S42:S51)</f>
        <v>47.698412698412696</v>
      </c>
      <c r="T52" s="1">
        <f t="shared" ref="T52" si="81">AVERAGE(T42:T51)</f>
        <v>61.300970191226114</v>
      </c>
      <c r="U52" s="1">
        <f t="shared" ref="U52" si="82">AVERAGE(U42:U51)</f>
        <v>66.596773059617547</v>
      </c>
      <c r="W52" s="1">
        <f>AVERAGE(W42:W51)</f>
        <v>14.237603024318911</v>
      </c>
      <c r="X52" s="1">
        <f t="shared" ref="X52" si="83">AVERAGE(X42:X51)</f>
        <v>15.555555555555546</v>
      </c>
      <c r="Y52" s="1">
        <f t="shared" ref="Y52" si="84">AVERAGE(Y42:Y51)</f>
        <v>33.272149098534911</v>
      </c>
      <c r="Z52" s="1">
        <f t="shared" ref="Z52" si="85">AVERAGE(Z42:Z51)</f>
        <v>41.746031746031747</v>
      </c>
      <c r="AA52" s="1">
        <f t="shared" ref="AA52" si="86">AVERAGE(AA42:AA51)</f>
        <v>59.736976237345324</v>
      </c>
      <c r="AB52" s="1">
        <f t="shared" ref="AB52" si="87">AVERAGE(AB42:AB51)</f>
        <v>67.374771512935894</v>
      </c>
    </row>
    <row r="53" spans="1:28" s="1" customFormat="1" x14ac:dyDescent="0.45">
      <c r="A53" s="1" t="s">
        <v>15</v>
      </c>
      <c r="B53" s="1">
        <f>MAX(B42:B51)</f>
        <v>18.433179723502299</v>
      </c>
      <c r="C53" s="1">
        <f t="shared" ref="C53:G53" si="88">MAX(C42:C51)</f>
        <v>21.428571428571399</v>
      </c>
      <c r="D53" s="1">
        <f t="shared" si="88"/>
        <v>38.5321100917431</v>
      </c>
      <c r="E53" s="1">
        <f t="shared" si="88"/>
        <v>50</v>
      </c>
      <c r="F53" s="1">
        <f t="shared" si="88"/>
        <v>79.307859955005597</v>
      </c>
      <c r="G53" s="1">
        <f t="shared" si="88"/>
        <v>98.926696662917095</v>
      </c>
      <c r="I53" s="1">
        <f>MAX(I42:I51)</f>
        <v>22.831050228310499</v>
      </c>
      <c r="J53" s="1">
        <f t="shared" ref="J53:N53" si="89">MAX(J42:J51)</f>
        <v>25.396825396825399</v>
      </c>
      <c r="K53" s="1">
        <f t="shared" si="89"/>
        <v>42.792792792792802</v>
      </c>
      <c r="L53" s="1">
        <f t="shared" si="89"/>
        <v>50.793650793650798</v>
      </c>
      <c r="M53" s="1">
        <f t="shared" si="89"/>
        <v>91.763627202849605</v>
      </c>
      <c r="N53" s="1">
        <f t="shared" si="89"/>
        <v>98.225124203224595</v>
      </c>
      <c r="P53" s="1">
        <f>MAX(P42:P51)</f>
        <v>19.634703196347001</v>
      </c>
      <c r="Q53" s="1">
        <f t="shared" ref="Q53:U53" si="90">MAX(Q42:Q51)</f>
        <v>22.2222222222222</v>
      </c>
      <c r="R53" s="1">
        <f t="shared" si="90"/>
        <v>55.045871559632999</v>
      </c>
      <c r="S53" s="1">
        <f t="shared" si="90"/>
        <v>63.492063492063501</v>
      </c>
      <c r="T53" s="1">
        <f t="shared" si="90"/>
        <v>85.739477877765296</v>
      </c>
      <c r="U53" s="1">
        <f t="shared" si="90"/>
        <v>97.122527652793394</v>
      </c>
      <c r="W53" s="1">
        <f>MAX(W42:W51)</f>
        <v>20.642201834862401</v>
      </c>
      <c r="X53" s="1">
        <f t="shared" ref="X53:AB53" si="91">MAX(X42:X51)</f>
        <v>21.428571428571399</v>
      </c>
      <c r="Y53" s="1">
        <f t="shared" si="91"/>
        <v>40.990990990991001</v>
      </c>
      <c r="Z53" s="1">
        <f t="shared" si="91"/>
        <v>50.793650793650798</v>
      </c>
      <c r="AA53" s="1">
        <f t="shared" si="91"/>
        <v>89.199006374203194</v>
      </c>
      <c r="AB53" s="1">
        <f t="shared" si="91"/>
        <v>99.356721034870603</v>
      </c>
    </row>
    <row r="55" spans="1:28" x14ac:dyDescent="0.45">
      <c r="A55" t="s">
        <v>14</v>
      </c>
    </row>
    <row r="56" spans="1:28" x14ac:dyDescent="0.45">
      <c r="A56" t="s">
        <v>16</v>
      </c>
      <c r="B56" t="s">
        <v>17</v>
      </c>
      <c r="I56" t="s">
        <v>18</v>
      </c>
      <c r="P56" t="s">
        <v>19</v>
      </c>
      <c r="W56" t="s">
        <v>20</v>
      </c>
    </row>
    <row r="57" spans="1:28" x14ac:dyDescent="0.45">
      <c r="A57" t="s">
        <v>21</v>
      </c>
      <c r="B57">
        <f>B13</f>
        <v>15.541069632008512</v>
      </c>
      <c r="C57">
        <f t="shared" ref="C57:G57" si="92">C13</f>
        <v>16.507936507936495</v>
      </c>
      <c r="D57">
        <f t="shared" si="92"/>
        <v>22.173737059047571</v>
      </c>
      <c r="E57">
        <f t="shared" si="92"/>
        <v>11.428571428571432</v>
      </c>
      <c r="F57">
        <f t="shared" si="92"/>
        <v>51.093808586426704</v>
      </c>
      <c r="G57">
        <f t="shared" si="92"/>
        <v>34.557291666666671</v>
      </c>
      <c r="I57">
        <f>I13</f>
        <v>15.804893544188038</v>
      </c>
      <c r="J57">
        <f t="shared" ref="J57:N57" si="93">J13</f>
        <v>19.285714285714288</v>
      </c>
      <c r="K57">
        <f t="shared" si="93"/>
        <v>25.993240049572989</v>
      </c>
      <c r="L57">
        <f t="shared" si="93"/>
        <v>12.777777777777786</v>
      </c>
      <c r="M57">
        <f t="shared" si="93"/>
        <v>53.992430633670793</v>
      </c>
      <c r="N57">
        <f t="shared" si="93"/>
        <v>25.868104377577811</v>
      </c>
      <c r="P57">
        <f>P13</f>
        <v>12.307335334578397</v>
      </c>
      <c r="Q57">
        <f t="shared" ref="Q57:U57" si="94">Q13</f>
        <v>14.36507936507935</v>
      </c>
      <c r="R57">
        <f t="shared" si="94"/>
        <v>29.152653565095143</v>
      </c>
      <c r="S57">
        <f t="shared" si="94"/>
        <v>12.222222222222232</v>
      </c>
      <c r="T57">
        <f t="shared" si="94"/>
        <v>58.081587457817797</v>
      </c>
      <c r="U57">
        <f t="shared" si="94"/>
        <v>44.507874015748044</v>
      </c>
      <c r="W57">
        <f>W13</f>
        <v>14.066843379018479</v>
      </c>
      <c r="X57">
        <f t="shared" ref="X57:AB57" si="95">X13</f>
        <v>16.111111111111093</v>
      </c>
      <c r="Y57">
        <f t="shared" si="95"/>
        <v>29.39423758904119</v>
      </c>
      <c r="Z57">
        <f t="shared" si="95"/>
        <v>13.015873015873018</v>
      </c>
      <c r="AA57">
        <f t="shared" si="95"/>
        <v>51.333163432695912</v>
      </c>
      <c r="AB57">
        <f t="shared" si="95"/>
        <v>42.572617875890515</v>
      </c>
    </row>
    <row r="58" spans="1:28" x14ac:dyDescent="0.45">
      <c r="A58" s="2">
        <v>7</v>
      </c>
      <c r="B58">
        <f>B26</f>
        <v>13.399762615689085</v>
      </c>
      <c r="C58">
        <f t="shared" ref="C58:G58" si="96">C26</f>
        <v>16.349206349206359</v>
      </c>
      <c r="D58">
        <f t="shared" si="96"/>
        <v>25.697043042892659</v>
      </c>
      <c r="E58">
        <f t="shared" si="96"/>
        <v>29.920634920634917</v>
      </c>
      <c r="F58">
        <f t="shared" si="96"/>
        <v>59.199123547056615</v>
      </c>
      <c r="G58">
        <f t="shared" si="96"/>
        <v>61.838354190101242</v>
      </c>
      <c r="I58">
        <f>I26</f>
        <v>11.292422822987429</v>
      </c>
      <c r="J58">
        <f t="shared" ref="J58:N58" si="97">J26</f>
        <v>14.206349206349207</v>
      </c>
      <c r="K58">
        <f t="shared" si="97"/>
        <v>31.812625227909841</v>
      </c>
      <c r="L58">
        <f t="shared" si="97"/>
        <v>36.190476190476197</v>
      </c>
      <c r="M58">
        <f t="shared" si="97"/>
        <v>62.561398575178103</v>
      </c>
      <c r="N58">
        <f t="shared" si="97"/>
        <v>58.792885264341962</v>
      </c>
      <c r="P58">
        <f>P26</f>
        <v>15.532492807091703</v>
      </c>
      <c r="Q58">
        <f t="shared" ref="Q58:U58" si="98">Q26</f>
        <v>18.968253968253968</v>
      </c>
      <c r="R58">
        <f t="shared" si="98"/>
        <v>34.526176009559961</v>
      </c>
      <c r="S58">
        <f t="shared" si="98"/>
        <v>37.142857142857139</v>
      </c>
      <c r="T58">
        <f t="shared" si="98"/>
        <v>52.569688554555661</v>
      </c>
      <c r="U58">
        <f t="shared" si="98"/>
        <v>61.473800149981251</v>
      </c>
      <c r="W58">
        <f>W26</f>
        <v>13.040658040759689</v>
      </c>
      <c r="X58">
        <f t="shared" ref="X58:AB58" si="99">X26</f>
        <v>16.111111111111121</v>
      </c>
      <c r="Y58">
        <f t="shared" si="99"/>
        <v>35.887647260129867</v>
      </c>
      <c r="Z58">
        <f t="shared" si="99"/>
        <v>39.36507936507936</v>
      </c>
      <c r="AA58">
        <f t="shared" si="99"/>
        <v>61.362720284964396</v>
      </c>
      <c r="AB58">
        <f t="shared" si="99"/>
        <v>58.748593925759295</v>
      </c>
    </row>
    <row r="59" spans="1:28" x14ac:dyDescent="0.45">
      <c r="A59" s="2">
        <v>12</v>
      </c>
      <c r="B59">
        <f>B39</f>
        <v>12.782212675543601</v>
      </c>
      <c r="C59">
        <f t="shared" ref="C59:G59" si="100">C39</f>
        <v>15.158730158730151</v>
      </c>
      <c r="D59">
        <f t="shared" si="100"/>
        <v>29.102166185798431</v>
      </c>
      <c r="E59">
        <f t="shared" si="100"/>
        <v>38.015873015873048</v>
      </c>
      <c r="F59">
        <f t="shared" si="100"/>
        <v>54.982804883764537</v>
      </c>
      <c r="G59">
        <f t="shared" si="100"/>
        <v>79.17264248218973</v>
      </c>
      <c r="I59">
        <f>I39</f>
        <v>13.490866314819732</v>
      </c>
      <c r="J59">
        <f t="shared" ref="J59:N59" si="101">J39</f>
        <v>16.031746031746039</v>
      </c>
      <c r="K59">
        <f t="shared" si="101"/>
        <v>35.427192764722761</v>
      </c>
      <c r="L59">
        <f t="shared" si="101"/>
        <v>43.253968253968274</v>
      </c>
      <c r="M59">
        <f t="shared" si="101"/>
        <v>58.035479940007505</v>
      </c>
      <c r="N59">
        <f t="shared" si="101"/>
        <v>77.669783464566919</v>
      </c>
      <c r="P59">
        <f>P39</f>
        <v>14.311399099362529</v>
      </c>
      <c r="Q59">
        <f t="shared" ref="Q59:U59" si="102">Q39</f>
        <v>16.904761904761923</v>
      </c>
      <c r="R59">
        <f t="shared" si="102"/>
        <v>40.337810222198691</v>
      </c>
      <c r="S59">
        <f t="shared" si="102"/>
        <v>45.158730158730158</v>
      </c>
      <c r="T59">
        <f t="shared" si="102"/>
        <v>52.171974596925395</v>
      </c>
      <c r="U59">
        <f t="shared" si="102"/>
        <v>59.781912026621661</v>
      </c>
      <c r="W59">
        <f>W39</f>
        <v>13.142493648860599</v>
      </c>
      <c r="X59">
        <f t="shared" ref="X59:AB59" si="103">X39</f>
        <v>15.396825396825397</v>
      </c>
      <c r="Y59">
        <f t="shared" si="103"/>
        <v>34.579059395618437</v>
      </c>
      <c r="Z59">
        <f t="shared" si="103"/>
        <v>42.380952380952387</v>
      </c>
      <c r="AA59">
        <f t="shared" si="103"/>
        <v>56.952129030746164</v>
      </c>
      <c r="AB59">
        <f t="shared" si="103"/>
        <v>76.253310133108371</v>
      </c>
    </row>
    <row r="60" spans="1:28" x14ac:dyDescent="0.45">
      <c r="A60" s="2">
        <v>17</v>
      </c>
      <c r="B60">
        <f>B52</f>
        <v>13.38073678926728</v>
      </c>
      <c r="C60">
        <f t="shared" ref="C60:G60" si="104">C52</f>
        <v>14.603174603174589</v>
      </c>
      <c r="D60">
        <f t="shared" si="104"/>
        <v>28.230996997086169</v>
      </c>
      <c r="E60">
        <f t="shared" si="104"/>
        <v>38.492063492063487</v>
      </c>
      <c r="F60">
        <f t="shared" si="104"/>
        <v>60.547314398200214</v>
      </c>
      <c r="G60">
        <f t="shared" si="104"/>
        <v>76.672906121109861</v>
      </c>
      <c r="I60">
        <f>I52</f>
        <v>14.085827212816142</v>
      </c>
      <c r="J60">
        <f t="shared" ref="J60:N60" si="105">J52</f>
        <v>17.06349206349206</v>
      </c>
      <c r="K60">
        <f t="shared" si="105"/>
        <v>35.201363186562503</v>
      </c>
      <c r="L60">
        <f t="shared" si="105"/>
        <v>44.761904761904759</v>
      </c>
      <c r="M60">
        <f t="shared" si="105"/>
        <v>57.510428383952004</v>
      </c>
      <c r="N60">
        <f t="shared" si="105"/>
        <v>72.019327662167214</v>
      </c>
      <c r="P60">
        <f>P52</f>
        <v>13.699146758874786</v>
      </c>
      <c r="Q60">
        <f t="shared" ref="Q60:U60" si="106">Q52</f>
        <v>16.825396825396844</v>
      </c>
      <c r="R60">
        <f t="shared" si="106"/>
        <v>39.756659314119545</v>
      </c>
      <c r="S60">
        <f t="shared" si="106"/>
        <v>47.698412698412696</v>
      </c>
      <c r="T60">
        <f t="shared" si="106"/>
        <v>61.300970191226114</v>
      </c>
      <c r="U60">
        <f t="shared" si="106"/>
        <v>66.596773059617547</v>
      </c>
      <c r="W60">
        <f>W52</f>
        <v>14.237603024318911</v>
      </c>
      <c r="X60">
        <f t="shared" ref="X60:AB60" si="107">X52</f>
        <v>15.555555555555546</v>
      </c>
      <c r="Y60">
        <f t="shared" si="107"/>
        <v>33.272149098534911</v>
      </c>
      <c r="Z60">
        <f t="shared" si="107"/>
        <v>41.746031746031747</v>
      </c>
      <c r="AA60">
        <f t="shared" si="107"/>
        <v>59.736976237345324</v>
      </c>
      <c r="AB60">
        <f t="shared" si="107"/>
        <v>67.374771512935894</v>
      </c>
    </row>
    <row r="62" spans="1:28" x14ac:dyDescent="0.45">
      <c r="A62" t="s">
        <v>15</v>
      </c>
    </row>
    <row r="63" spans="1:28" x14ac:dyDescent="0.45">
      <c r="A63" t="s">
        <v>16</v>
      </c>
      <c r="B63" t="s">
        <v>17</v>
      </c>
      <c r="I63" t="s">
        <v>18</v>
      </c>
      <c r="P63" t="s">
        <v>19</v>
      </c>
      <c r="W63" t="s">
        <v>20</v>
      </c>
    </row>
    <row r="64" spans="1:28" x14ac:dyDescent="0.45">
      <c r="A64" t="s">
        <v>21</v>
      </c>
      <c r="B64">
        <f>B14</f>
        <v>25.2293577981651</v>
      </c>
      <c r="C64">
        <f t="shared" ref="C64:G64" si="108">C14</f>
        <v>24.603174603174601</v>
      </c>
      <c r="D64">
        <f t="shared" si="108"/>
        <v>30.4932735426009</v>
      </c>
      <c r="E64">
        <f t="shared" si="108"/>
        <v>16.6666666666667</v>
      </c>
      <c r="F64">
        <f t="shared" si="108"/>
        <v>64.171470753655797</v>
      </c>
      <c r="G64">
        <f t="shared" si="108"/>
        <v>42.357693569553803</v>
      </c>
      <c r="I64">
        <f>I14</f>
        <v>23.148148148148099</v>
      </c>
      <c r="J64">
        <f t="shared" ref="J64:N64" si="109">J14</f>
        <v>26.984126984126998</v>
      </c>
      <c r="K64">
        <f t="shared" si="109"/>
        <v>34.545454545454497</v>
      </c>
      <c r="L64">
        <f t="shared" si="109"/>
        <v>18.253968253968299</v>
      </c>
      <c r="M64">
        <f t="shared" si="109"/>
        <v>76.356275778027793</v>
      </c>
      <c r="N64">
        <f t="shared" si="109"/>
        <v>51.8899981252343</v>
      </c>
      <c r="P64">
        <f>P14</f>
        <v>19.4444444444444</v>
      </c>
      <c r="Q64">
        <f t="shared" ref="Q64:U64" si="110">Q14</f>
        <v>22.2222222222222</v>
      </c>
      <c r="R64">
        <f t="shared" si="110"/>
        <v>36.238532110091697</v>
      </c>
      <c r="S64">
        <f t="shared" si="110"/>
        <v>18.253968253968299</v>
      </c>
      <c r="T64">
        <f t="shared" si="110"/>
        <v>77.264365391826004</v>
      </c>
      <c r="U64">
        <f t="shared" si="110"/>
        <v>79.212949943756996</v>
      </c>
      <c r="W64">
        <f>W14</f>
        <v>20.3619909502262</v>
      </c>
      <c r="X64">
        <f t="shared" ref="X64:AB64" si="111">X14</f>
        <v>24.603174603174601</v>
      </c>
      <c r="Y64">
        <f t="shared" si="111"/>
        <v>37.556561085972902</v>
      </c>
      <c r="Z64">
        <f t="shared" si="111"/>
        <v>19.841269841269799</v>
      </c>
      <c r="AA64">
        <f t="shared" si="111"/>
        <v>71.472511248593904</v>
      </c>
      <c r="AB64">
        <f t="shared" si="111"/>
        <v>82.799318053993204</v>
      </c>
    </row>
    <row r="65" spans="1:28" x14ac:dyDescent="0.45">
      <c r="A65" s="2">
        <v>7</v>
      </c>
      <c r="B65">
        <f>B27</f>
        <v>17.511520737327199</v>
      </c>
      <c r="C65">
        <f t="shared" ref="C65:G65" si="112">C27</f>
        <v>21.428571428571399</v>
      </c>
      <c r="D65">
        <f t="shared" si="112"/>
        <v>33.035714285714299</v>
      </c>
      <c r="E65">
        <f t="shared" si="112"/>
        <v>41.269841269841301</v>
      </c>
      <c r="F65">
        <f t="shared" si="112"/>
        <v>80.538467847768999</v>
      </c>
      <c r="G65">
        <f t="shared" si="112"/>
        <v>92.474866422947102</v>
      </c>
      <c r="I65">
        <f>I27</f>
        <v>16.5898617511521</v>
      </c>
      <c r="J65">
        <f t="shared" ref="J65:N65" si="113">J27</f>
        <v>19.047619047619001</v>
      </c>
      <c r="K65">
        <f t="shared" si="113"/>
        <v>42.009132420091298</v>
      </c>
      <c r="L65">
        <f t="shared" si="113"/>
        <v>47.619047619047599</v>
      </c>
      <c r="M65">
        <f t="shared" si="113"/>
        <v>85.634315241844803</v>
      </c>
      <c r="N65">
        <f t="shared" si="113"/>
        <v>84.575951443569593</v>
      </c>
      <c r="P65">
        <f>P27</f>
        <v>25.700934579439199</v>
      </c>
      <c r="Q65">
        <f t="shared" ref="Q65:U65" si="114">Q27</f>
        <v>27.7777777777778</v>
      </c>
      <c r="R65">
        <f t="shared" si="114"/>
        <v>45.754716981132098</v>
      </c>
      <c r="S65">
        <f t="shared" si="114"/>
        <v>44.4444444444444</v>
      </c>
      <c r="T65">
        <f t="shared" si="114"/>
        <v>65.877214566929098</v>
      </c>
      <c r="U65">
        <f t="shared" si="114"/>
        <v>96.123629077615306</v>
      </c>
      <c r="W65">
        <f>W27</f>
        <v>15.5963302752294</v>
      </c>
      <c r="X65">
        <f t="shared" ref="X65:AB65" si="115">X27</f>
        <v>19.047619047619001</v>
      </c>
      <c r="Y65">
        <f t="shared" si="115"/>
        <v>48.325358851674601</v>
      </c>
      <c r="Z65">
        <f t="shared" si="115"/>
        <v>50</v>
      </c>
      <c r="AA65">
        <f t="shared" si="115"/>
        <v>88.743203974503203</v>
      </c>
      <c r="AB65">
        <f t="shared" si="115"/>
        <v>88.513838113985798</v>
      </c>
    </row>
    <row r="66" spans="1:28" x14ac:dyDescent="0.45">
      <c r="A66" s="2">
        <v>12</v>
      </c>
      <c r="B66">
        <f>B40</f>
        <v>19.4570135746606</v>
      </c>
      <c r="C66">
        <f t="shared" ref="C66:G66" si="116">C40</f>
        <v>23.015873015873002</v>
      </c>
      <c r="D66">
        <f t="shared" si="116"/>
        <v>42.592592592592602</v>
      </c>
      <c r="E66">
        <f t="shared" si="116"/>
        <v>53.968253968253997</v>
      </c>
      <c r="F66">
        <f t="shared" si="116"/>
        <v>81.334950318710199</v>
      </c>
      <c r="G66">
        <f t="shared" si="116"/>
        <v>99.316882264716895</v>
      </c>
      <c r="I66">
        <f>I40</f>
        <v>19.5555555555556</v>
      </c>
      <c r="J66">
        <f t="shared" ref="J66:N66" si="117">J40</f>
        <v>21.428571428571399</v>
      </c>
      <c r="K66">
        <f t="shared" si="117"/>
        <v>45.145631067961197</v>
      </c>
      <c r="L66">
        <f t="shared" si="117"/>
        <v>55.5555555555556</v>
      </c>
      <c r="M66">
        <f t="shared" si="117"/>
        <v>75.091980689913797</v>
      </c>
      <c r="N66">
        <f t="shared" si="117"/>
        <v>98.400883483314601</v>
      </c>
      <c r="P66">
        <f>P40</f>
        <v>22.2222222222222</v>
      </c>
      <c r="Q66">
        <f t="shared" ref="Q66:U66" si="118">Q40</f>
        <v>28.571428571428601</v>
      </c>
      <c r="R66">
        <f t="shared" si="118"/>
        <v>55.868544600939003</v>
      </c>
      <c r="S66">
        <f t="shared" si="118"/>
        <v>64.285714285714306</v>
      </c>
      <c r="T66">
        <f t="shared" si="118"/>
        <v>82.279656449193894</v>
      </c>
      <c r="U66">
        <f t="shared" si="118"/>
        <v>91.984205099362597</v>
      </c>
      <c r="W66">
        <f>W40</f>
        <v>23.287671232876701</v>
      </c>
      <c r="X66">
        <f t="shared" ref="X66:AB66" si="119">X40</f>
        <v>25.396825396825399</v>
      </c>
      <c r="Y66">
        <f t="shared" si="119"/>
        <v>47.945205479452</v>
      </c>
      <c r="Z66">
        <f t="shared" si="119"/>
        <v>54.761904761904802</v>
      </c>
      <c r="AA66">
        <f t="shared" si="119"/>
        <v>89.905558680165001</v>
      </c>
      <c r="AB66">
        <f t="shared" si="119"/>
        <v>96.3541666666667</v>
      </c>
    </row>
    <row r="67" spans="1:28" x14ac:dyDescent="0.45">
      <c r="A67" s="2">
        <v>17</v>
      </c>
      <c r="B67">
        <f>B53</f>
        <v>18.433179723502299</v>
      </c>
      <c r="C67">
        <f t="shared" ref="C67:G67" si="120">C53</f>
        <v>21.428571428571399</v>
      </c>
      <c r="D67">
        <f t="shared" si="120"/>
        <v>38.5321100917431</v>
      </c>
      <c r="E67">
        <f t="shared" si="120"/>
        <v>50</v>
      </c>
      <c r="F67">
        <f t="shared" si="120"/>
        <v>79.307859955005597</v>
      </c>
      <c r="G67">
        <f t="shared" si="120"/>
        <v>98.926696662917095</v>
      </c>
      <c r="I67">
        <f>I53</f>
        <v>22.831050228310499</v>
      </c>
      <c r="J67">
        <f t="shared" ref="J67:N67" si="121">J53</f>
        <v>25.396825396825399</v>
      </c>
      <c r="K67">
        <f t="shared" si="121"/>
        <v>42.792792792792802</v>
      </c>
      <c r="L67">
        <f t="shared" si="121"/>
        <v>50.793650793650798</v>
      </c>
      <c r="M67">
        <f t="shared" si="121"/>
        <v>91.763627202849605</v>
      </c>
      <c r="N67">
        <f t="shared" si="121"/>
        <v>98.225124203224595</v>
      </c>
      <c r="P67">
        <f>P53</f>
        <v>19.634703196347001</v>
      </c>
      <c r="Q67">
        <f t="shared" ref="Q67:U67" si="122">Q53</f>
        <v>22.2222222222222</v>
      </c>
      <c r="R67">
        <f t="shared" si="122"/>
        <v>55.045871559632999</v>
      </c>
      <c r="S67">
        <f t="shared" si="122"/>
        <v>63.492063492063501</v>
      </c>
      <c r="T67">
        <f t="shared" si="122"/>
        <v>85.739477877765296</v>
      </c>
      <c r="U67">
        <f t="shared" si="122"/>
        <v>97.122527652793394</v>
      </c>
      <c r="W67">
        <f>W53</f>
        <v>20.642201834862401</v>
      </c>
      <c r="X67">
        <f t="shared" ref="X67:AB67" si="123">X53</f>
        <v>21.428571428571399</v>
      </c>
      <c r="Y67">
        <f t="shared" si="123"/>
        <v>40.990990990991001</v>
      </c>
      <c r="Z67">
        <f t="shared" si="123"/>
        <v>50.793650793650798</v>
      </c>
      <c r="AA67">
        <f t="shared" si="123"/>
        <v>89.199006374203194</v>
      </c>
      <c r="AB67">
        <f t="shared" si="123"/>
        <v>99.356721034870603</v>
      </c>
    </row>
    <row r="68" spans="1:28" x14ac:dyDescent="0.45">
      <c r="A68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Houston Clear Lake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Yang, Yipeng</dc:creator>
  <cp:lastModifiedBy>Yang, Yipeng</cp:lastModifiedBy>
  <dcterms:created xsi:type="dcterms:W3CDTF">2025-12-08T17:32:47Z</dcterms:created>
  <dcterms:modified xsi:type="dcterms:W3CDTF">2025-12-18T21:43:37Z</dcterms:modified>
</cp:coreProperties>
</file>