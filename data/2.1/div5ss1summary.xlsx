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1/"/>
    </mc:Choice>
  </mc:AlternateContent>
  <xr:revisionPtr revIDLastSave="954" documentId="8_{E504D093-0C97-4C05-AFD8-7B90F75929FE}" xr6:coauthVersionLast="47" xr6:coauthVersionMax="47" xr10:uidLastSave="{C17E7AD9-AC10-4370-93FE-A4D4D7BAC6DB}"/>
  <bookViews>
    <workbookView xWindow="-98" yWindow="-98" windowWidth="20715" windowHeight="13155" xr2:uid="{4125AA66-9F76-4F17-833F-EBE081DD6316}"/>
  </bookViews>
  <sheets>
    <sheet name="Sheet1" sheetId="1" r:id="rId1"/>
    <sheet name="CARLIN" sheetId="2" r:id="rId2"/>
  </sheets>
  <definedNames>
    <definedName name="_xlchart.v1.0" hidden="1">Sheet1!$B$171:$B$180</definedName>
    <definedName name="_xlchart.v1.1" hidden="1">Sheet1!$C$171:$C$180</definedName>
    <definedName name="_xlchart.v1.10" hidden="1">Sheet1!$D$171:$D$180</definedName>
    <definedName name="_xlchart.v1.100" hidden="1">Sheet1!$Q$171:$Q$180</definedName>
    <definedName name="_xlchart.v1.101" hidden="1">Sheet1!$R$171:$R$180</definedName>
    <definedName name="_xlchart.v1.102" hidden="1">Sheet1!$S$171:$S$180</definedName>
    <definedName name="_xlchart.v1.103" hidden="1">Sheet1!$T$171:$T$180</definedName>
    <definedName name="_xlchart.v1.104" hidden="1">Sheet1!$B$171:$B$180</definedName>
    <definedName name="_xlchart.v1.105" hidden="1">Sheet1!$B$202:$B$211</definedName>
    <definedName name="_xlchart.v1.106" hidden="1">Sheet1!$C$171:$C$180</definedName>
    <definedName name="_xlchart.v1.107" hidden="1">Sheet1!$C$202:$C$211</definedName>
    <definedName name="_xlchart.v1.108" hidden="1">Sheet1!$D$171:$D$180</definedName>
    <definedName name="_xlchart.v1.109" hidden="1">Sheet1!$D$202:$D$211</definedName>
    <definedName name="_xlchart.v1.11" hidden="1">Sheet1!$E$171:$E$180</definedName>
    <definedName name="_xlchart.v1.110" hidden="1">Sheet1!$E$171:$E$180</definedName>
    <definedName name="_xlchart.v1.111" hidden="1">Sheet1!$E$202:$E$211</definedName>
    <definedName name="_xlchart.v1.112" hidden="1">Sheet1!$F$171:$F$180</definedName>
    <definedName name="_xlchart.v1.113" hidden="1">Sheet1!$F$202:$F$211</definedName>
    <definedName name="_xlchart.v1.114" hidden="1">Sheet1!$G$171:$G$180</definedName>
    <definedName name="_xlchart.v1.115" hidden="1">Sheet1!$G$202:$G$211</definedName>
    <definedName name="_xlchart.v1.116" hidden="1">Sheet1!$H$171:$H$180</definedName>
    <definedName name="_xlchart.v1.117" hidden="1">Sheet1!$H$202:$H$211</definedName>
    <definedName name="_xlchart.v1.118" hidden="1">Sheet1!$I$171:$I$180</definedName>
    <definedName name="_xlchart.v1.119" hidden="1">Sheet1!$I$202:$I$211</definedName>
    <definedName name="_xlchart.v1.12" hidden="1">Sheet1!$F$171:$F$180</definedName>
    <definedName name="_xlchart.v1.120" hidden="1">Sheet1!$AA$202:$AA$211</definedName>
    <definedName name="_xlchart.v1.121" hidden="1">Sheet1!$AB$202:$AB$211</definedName>
    <definedName name="_xlchart.v1.122" hidden="1">Sheet1!$AC$202:$AC$211</definedName>
    <definedName name="_xlchart.v1.123" hidden="1">Sheet1!$AD$202:$AD$211</definedName>
    <definedName name="_xlchart.v1.124" hidden="1">Sheet1!$AE$202:$AE$211</definedName>
    <definedName name="_xlchart.v1.125" hidden="1">Sheet1!$M$202:$M$211</definedName>
    <definedName name="_xlchart.v1.126" hidden="1">Sheet1!$N$202:$N$211</definedName>
    <definedName name="_xlchart.v1.127" hidden="1">Sheet1!$O$202:$O$211</definedName>
    <definedName name="_xlchart.v1.128" hidden="1">Sheet1!$P$202:$P$211</definedName>
    <definedName name="_xlchart.v1.129" hidden="1">Sheet1!$Q$202:$Q$211</definedName>
    <definedName name="_xlchart.v1.13" hidden="1">Sheet1!$G$171:$G$180</definedName>
    <definedName name="_xlchart.v1.130" hidden="1">Sheet1!$R$202:$R$211</definedName>
    <definedName name="_xlchart.v1.131" hidden="1">Sheet1!$S$202:$S$211</definedName>
    <definedName name="_xlchart.v1.132" hidden="1">Sheet1!$T$202:$T$211</definedName>
    <definedName name="_xlchart.v1.133" hidden="1">Sheet1!$X$202:$X$211</definedName>
    <definedName name="_xlchart.v1.134" hidden="1">Sheet1!$Y$202:$Y$211</definedName>
    <definedName name="_xlchart.v1.135" hidden="1">Sheet1!$Z$202:$Z$211</definedName>
    <definedName name="_xlchart.v1.136" hidden="1">Sheet1!$AA$171:$AA$180</definedName>
    <definedName name="_xlchart.v1.137" hidden="1">Sheet1!$AB$171:$AB$180</definedName>
    <definedName name="_xlchart.v1.138" hidden="1">Sheet1!$AC$171:$AC$180</definedName>
    <definedName name="_xlchart.v1.139" hidden="1">Sheet1!$AD$171:$AD$180</definedName>
    <definedName name="_xlchart.v1.14" hidden="1">Sheet1!$H$171:$H$180</definedName>
    <definedName name="_xlchart.v1.140" hidden="1">Sheet1!$AE$171:$AE$180</definedName>
    <definedName name="_xlchart.v1.141" hidden="1">Sheet1!$AI$171:$AI$180</definedName>
    <definedName name="_xlchart.v1.142" hidden="1">Sheet1!$AJ$171:$AJ$180</definedName>
    <definedName name="_xlchart.v1.143" hidden="1">Sheet1!$AK$171:$AK$180</definedName>
    <definedName name="_xlchart.v1.144" hidden="1">Sheet1!$AL$171:$AL$180</definedName>
    <definedName name="_xlchart.v1.145" hidden="1">Sheet1!$AM$171:$AM$180</definedName>
    <definedName name="_xlchart.v1.146" hidden="1">Sheet1!$AN$171:$AN$180</definedName>
    <definedName name="_xlchart.v1.147" hidden="1">Sheet1!$AO$171:$AO$180</definedName>
    <definedName name="_xlchart.v1.148" hidden="1">Sheet1!$AP$171:$AP$180</definedName>
    <definedName name="_xlchart.v1.149" hidden="1">Sheet1!$X$171:$X$180</definedName>
    <definedName name="_xlchart.v1.15" hidden="1">Sheet1!$I$171:$I$180</definedName>
    <definedName name="_xlchart.v1.150" hidden="1">Sheet1!$Y$171:$Y$180</definedName>
    <definedName name="_xlchart.v1.151" hidden="1">Sheet1!$Z$171:$Z$180</definedName>
    <definedName name="_xlchart.v1.152" hidden="1">Sheet1!$AA$202:$AA$211</definedName>
    <definedName name="_xlchart.v1.153" hidden="1">Sheet1!$AB$202:$AB$211</definedName>
    <definedName name="_xlchart.v1.154" hidden="1">Sheet1!$AC$202:$AC$211</definedName>
    <definedName name="_xlchart.v1.155" hidden="1">Sheet1!$AD$202:$AD$211</definedName>
    <definedName name="_xlchart.v1.156" hidden="1">Sheet1!$AE$202:$AE$211</definedName>
    <definedName name="_xlchart.v1.157" hidden="1">Sheet1!$AI$202:$AI$211</definedName>
    <definedName name="_xlchart.v1.158" hidden="1">Sheet1!$AJ$202:$AJ$211</definedName>
    <definedName name="_xlchart.v1.159" hidden="1">Sheet1!$AK$202:$AK$211</definedName>
    <definedName name="_xlchart.v1.16" hidden="1">Sheet1!$B$171:$B$180</definedName>
    <definedName name="_xlchart.v1.160" hidden="1">Sheet1!$AL$202:$AL$211</definedName>
    <definedName name="_xlchart.v1.161" hidden="1">Sheet1!$AM$202:$AM$211</definedName>
    <definedName name="_xlchart.v1.162" hidden="1">Sheet1!$AM$202:$AM$212</definedName>
    <definedName name="_xlchart.v1.163" hidden="1">Sheet1!$AN$202:$AN$211</definedName>
    <definedName name="_xlchart.v1.164" hidden="1">Sheet1!$AO$202:$AO$211</definedName>
    <definedName name="_xlchart.v1.165" hidden="1">Sheet1!$AP$202:$AP$211</definedName>
    <definedName name="_xlchart.v1.166" hidden="1">Sheet1!$X$202:$X$211</definedName>
    <definedName name="_xlchart.v1.167" hidden="1">Sheet1!$Y$202:$Y$211</definedName>
    <definedName name="_xlchart.v1.168" hidden="1">Sheet1!$Z$202:$Z$211</definedName>
    <definedName name="_xlchart.v1.169" hidden="1">CARLIN!$A$3:$A$322</definedName>
    <definedName name="_xlchart.v1.17" hidden="1">Sheet1!$C$171:$C$180</definedName>
    <definedName name="_xlchart.v1.170" hidden="1">CARLIN!$B$3:$B$322</definedName>
    <definedName name="_xlchart.v1.18" hidden="1">Sheet1!$D$171:$D$180</definedName>
    <definedName name="_xlchart.v1.19" hidden="1">Sheet1!$E$171:$E$180</definedName>
    <definedName name="_xlchart.v1.2" hidden="1">Sheet1!$D$171:$D$180</definedName>
    <definedName name="_xlchart.v1.20" hidden="1">Sheet1!$F$171:$F$180</definedName>
    <definedName name="_xlchart.v1.21" hidden="1">Sheet1!$G$171:$G$180</definedName>
    <definedName name="_xlchart.v1.22" hidden="1">Sheet1!$H$171:$H$180</definedName>
    <definedName name="_xlchart.v1.23" hidden="1">Sheet1!$I$171:$I$180</definedName>
    <definedName name="_xlchart.v1.24" hidden="1">Sheet1!$B$202:$B$211</definedName>
    <definedName name="_xlchart.v1.25" hidden="1">Sheet1!$C$202:$C$211</definedName>
    <definedName name="_xlchart.v1.26" hidden="1">Sheet1!$D$202:$D$211</definedName>
    <definedName name="_xlchart.v1.27" hidden="1">Sheet1!$E$202:$E$211</definedName>
    <definedName name="_xlchart.v1.28" hidden="1">Sheet1!$F$202:$F$211</definedName>
    <definedName name="_xlchart.v1.29" hidden="1">Sheet1!$G$202:$G$211</definedName>
    <definedName name="_xlchart.v1.3" hidden="1">Sheet1!$E$171:$E$180</definedName>
    <definedName name="_xlchart.v1.30" hidden="1">Sheet1!$H$202:$H$211</definedName>
    <definedName name="_xlchart.v1.31" hidden="1">Sheet1!$I$202:$I$211</definedName>
    <definedName name="_xlchart.v1.32" hidden="1">Sheet1!$M$202:$M$211</definedName>
    <definedName name="_xlchart.v1.33" hidden="1">Sheet1!$N$202:$N$211</definedName>
    <definedName name="_xlchart.v1.34" hidden="1">Sheet1!$O$202:$O$211</definedName>
    <definedName name="_xlchart.v1.35" hidden="1">Sheet1!$P$202:$P$211</definedName>
    <definedName name="_xlchart.v1.36" hidden="1">Sheet1!$Q$202:$Q$211</definedName>
    <definedName name="_xlchart.v1.37" hidden="1">Sheet1!$R$202:$R$211</definedName>
    <definedName name="_xlchart.v1.38" hidden="1">Sheet1!$S$202:$S$211</definedName>
    <definedName name="_xlchart.v1.39" hidden="1">Sheet1!$T$202:$T$211</definedName>
    <definedName name="_xlchart.v1.4" hidden="1">Sheet1!$F$171:$F$180</definedName>
    <definedName name="_xlchart.v1.40" hidden="1">Sheet1!$B$171:$B$180</definedName>
    <definedName name="_xlchart.v1.41" hidden="1">Sheet1!$C$171:$C$180</definedName>
    <definedName name="_xlchart.v1.42" hidden="1">Sheet1!$D$171:$D$180</definedName>
    <definedName name="_xlchart.v1.43" hidden="1">Sheet1!$E$171:$E$180</definedName>
    <definedName name="_xlchart.v1.44" hidden="1">Sheet1!$F$171:$F$180</definedName>
    <definedName name="_xlchart.v1.45" hidden="1">Sheet1!$G$171:$G$180</definedName>
    <definedName name="_xlchart.v1.46" hidden="1">Sheet1!$H$171:$H$180</definedName>
    <definedName name="_xlchart.v1.47" hidden="1">Sheet1!$I$171:$I$180</definedName>
    <definedName name="_xlchart.v1.48" hidden="1">Sheet1!$AA$202:$AA$211</definedName>
    <definedName name="_xlchart.v1.49" hidden="1">Sheet1!$AB$202:$AB$211</definedName>
    <definedName name="_xlchart.v1.5" hidden="1">Sheet1!$G$171:$G$180</definedName>
    <definedName name="_xlchart.v1.50" hidden="1">Sheet1!$AC$202:$AC$211</definedName>
    <definedName name="_xlchart.v1.51" hidden="1">Sheet1!$AD$202:$AD$211</definedName>
    <definedName name="_xlchart.v1.52" hidden="1">Sheet1!$AE$202:$AE$211</definedName>
    <definedName name="_xlchart.v1.53" hidden="1">Sheet1!$X$202:$X$211</definedName>
    <definedName name="_xlchart.v1.54" hidden="1">Sheet1!$Y$202:$Y$211</definedName>
    <definedName name="_xlchart.v1.55" hidden="1">Sheet1!$Z$202:$Z$211</definedName>
    <definedName name="_xlchart.v1.56" hidden="1">Sheet1!$AA$171:$AA$180</definedName>
    <definedName name="_xlchart.v1.57" hidden="1">Sheet1!$AB$171:$AB$180</definedName>
    <definedName name="_xlchart.v1.58" hidden="1">Sheet1!$AC$171:$AC$180</definedName>
    <definedName name="_xlchart.v1.59" hidden="1">Sheet1!$AD$171:$AD$180</definedName>
    <definedName name="_xlchart.v1.6" hidden="1">Sheet1!$H$171:$H$180</definedName>
    <definedName name="_xlchart.v1.60" hidden="1">Sheet1!$AE$171:$AE$180</definedName>
    <definedName name="_xlchart.v1.61" hidden="1">Sheet1!$M$171:$M$180</definedName>
    <definedName name="_xlchart.v1.62" hidden="1">Sheet1!$N$171:$N$180</definedName>
    <definedName name="_xlchart.v1.63" hidden="1">Sheet1!$O$171:$O$180</definedName>
    <definedName name="_xlchart.v1.64" hidden="1">Sheet1!$P$171:$P$180</definedName>
    <definedName name="_xlchart.v1.65" hidden="1">Sheet1!$Q$171:$Q$180</definedName>
    <definedName name="_xlchart.v1.66" hidden="1">Sheet1!$R$171:$R$180</definedName>
    <definedName name="_xlchart.v1.67" hidden="1">Sheet1!$S$171:$S$180</definedName>
    <definedName name="_xlchart.v1.68" hidden="1">Sheet1!$T$171:$T$180</definedName>
    <definedName name="_xlchart.v1.69" hidden="1">Sheet1!$X$171:$X$180</definedName>
    <definedName name="_xlchart.v1.7" hidden="1">Sheet1!$I$171:$I$180</definedName>
    <definedName name="_xlchart.v1.70" hidden="1">Sheet1!$Y$171:$Y$180</definedName>
    <definedName name="_xlchart.v1.71" hidden="1">Sheet1!$Z$171:$Z$180</definedName>
    <definedName name="_xlchart.v1.72" hidden="1">Sheet1!$B$171:$B$180</definedName>
    <definedName name="_xlchart.v1.73" hidden="1">Sheet1!$C$171:$C$180</definedName>
    <definedName name="_xlchart.v1.74" hidden="1">Sheet1!$D$171:$D$180</definedName>
    <definedName name="_xlchart.v1.75" hidden="1">Sheet1!$E$171:$E$180</definedName>
    <definedName name="_xlchart.v1.76" hidden="1">Sheet1!$F$171:$F$180</definedName>
    <definedName name="_xlchart.v1.77" hidden="1">Sheet1!$G$171:$G$180</definedName>
    <definedName name="_xlchart.v1.78" hidden="1">Sheet1!$H$171:$H$180</definedName>
    <definedName name="_xlchart.v1.79" hidden="1">Sheet1!$I$171:$I$180</definedName>
    <definedName name="_xlchart.v1.8" hidden="1">Sheet1!$B$171:$B$180</definedName>
    <definedName name="_xlchart.v1.80" hidden="1">Sheet1!$B$171:$B$180</definedName>
    <definedName name="_xlchart.v1.81" hidden="1">Sheet1!$C$171:$C$180</definedName>
    <definedName name="_xlchart.v1.82" hidden="1">Sheet1!$D$171:$D$180</definedName>
    <definedName name="_xlchart.v1.83" hidden="1">Sheet1!$E$171:$E$180</definedName>
    <definedName name="_xlchart.v1.84" hidden="1">Sheet1!$F$171:$F$180</definedName>
    <definedName name="_xlchart.v1.85" hidden="1">Sheet1!$G$171:$G$180</definedName>
    <definedName name="_xlchart.v1.86" hidden="1">Sheet1!$H$171:$H$180</definedName>
    <definedName name="_xlchart.v1.87" hidden="1">Sheet1!$I$171:$I$180</definedName>
    <definedName name="_xlchart.v1.88" hidden="1">Sheet1!$B$171:$B$180</definedName>
    <definedName name="_xlchart.v1.89" hidden="1">Sheet1!$C$171:$C$180</definedName>
    <definedName name="_xlchart.v1.9" hidden="1">Sheet1!$C$171:$C$180</definedName>
    <definedName name="_xlchart.v1.90" hidden="1">Sheet1!$D$171:$D$180</definedName>
    <definedName name="_xlchart.v1.91" hidden="1">Sheet1!$E$171:$E$180</definedName>
    <definedName name="_xlchart.v1.92" hidden="1">Sheet1!$F$171:$F$180</definedName>
    <definedName name="_xlchart.v1.93" hidden="1">Sheet1!$G$171:$G$180</definedName>
    <definedName name="_xlchart.v1.94" hidden="1">Sheet1!$H$171:$H$180</definedName>
    <definedName name="_xlchart.v1.95" hidden="1">Sheet1!$I$171:$I$180</definedName>
    <definedName name="_xlchart.v1.96" hidden="1">Sheet1!$M$171:$M$180</definedName>
    <definedName name="_xlchart.v1.97" hidden="1">Sheet1!$N$171:$N$180</definedName>
    <definedName name="_xlchart.v1.98" hidden="1">Sheet1!$O$171:$O$180</definedName>
    <definedName name="_xlchart.v1.99" hidden="1">Sheet1!$P$171:$P$180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03" i="1" l="1"/>
  <c r="AP204" i="1"/>
  <c r="AP205" i="1"/>
  <c r="AP206" i="1"/>
  <c r="AP207" i="1"/>
  <c r="AP208" i="1"/>
  <c r="AP209" i="1"/>
  <c r="AP210" i="1"/>
  <c r="AP211" i="1"/>
  <c r="AP202" i="1"/>
  <c r="AO203" i="1"/>
  <c r="AO204" i="1"/>
  <c r="AO205" i="1"/>
  <c r="AO206" i="1"/>
  <c r="AO207" i="1"/>
  <c r="AO208" i="1"/>
  <c r="AO209" i="1"/>
  <c r="AO210" i="1"/>
  <c r="AO211" i="1"/>
  <c r="AO202" i="1"/>
  <c r="AN203" i="1"/>
  <c r="AN204" i="1"/>
  <c r="AN205" i="1"/>
  <c r="AN206" i="1"/>
  <c r="AN207" i="1"/>
  <c r="AN208" i="1"/>
  <c r="AN209" i="1"/>
  <c r="AN210" i="1"/>
  <c r="AN211" i="1"/>
  <c r="AN202" i="1"/>
  <c r="AM203" i="1"/>
  <c r="AM204" i="1"/>
  <c r="AM205" i="1"/>
  <c r="AM206" i="1"/>
  <c r="AM207" i="1"/>
  <c r="AM208" i="1"/>
  <c r="AM209" i="1"/>
  <c r="AM210" i="1"/>
  <c r="AM211" i="1"/>
  <c r="AM202" i="1"/>
  <c r="AL203" i="1"/>
  <c r="AL204" i="1"/>
  <c r="AL205" i="1"/>
  <c r="AL206" i="1"/>
  <c r="AL207" i="1"/>
  <c r="AL208" i="1"/>
  <c r="AL209" i="1"/>
  <c r="AL210" i="1"/>
  <c r="AL211" i="1"/>
  <c r="AL202" i="1"/>
  <c r="AK203" i="1"/>
  <c r="AK204" i="1"/>
  <c r="AK205" i="1"/>
  <c r="AK206" i="1"/>
  <c r="AK207" i="1"/>
  <c r="AK208" i="1"/>
  <c r="AK209" i="1"/>
  <c r="AK210" i="1"/>
  <c r="AK211" i="1"/>
  <c r="AK202" i="1"/>
  <c r="AJ203" i="1"/>
  <c r="AJ204" i="1"/>
  <c r="AJ205" i="1"/>
  <c r="AJ206" i="1"/>
  <c r="AJ207" i="1"/>
  <c r="AJ208" i="1"/>
  <c r="AJ209" i="1"/>
  <c r="AJ210" i="1"/>
  <c r="AJ211" i="1"/>
  <c r="AJ202" i="1"/>
  <c r="AI203" i="1"/>
  <c r="AI204" i="1"/>
  <c r="AI205" i="1"/>
  <c r="AI206" i="1"/>
  <c r="AI207" i="1"/>
  <c r="AI208" i="1"/>
  <c r="AI209" i="1"/>
  <c r="AI210" i="1"/>
  <c r="AI211" i="1"/>
  <c r="AI202" i="1"/>
  <c r="AE203" i="1"/>
  <c r="AE204" i="1"/>
  <c r="AE205" i="1"/>
  <c r="AE206" i="1"/>
  <c r="AE207" i="1"/>
  <c r="AE208" i="1"/>
  <c r="AE209" i="1"/>
  <c r="AE210" i="1"/>
  <c r="AE211" i="1"/>
  <c r="AE202" i="1"/>
  <c r="AD203" i="1"/>
  <c r="AD204" i="1"/>
  <c r="AD205" i="1"/>
  <c r="AD206" i="1"/>
  <c r="AD207" i="1"/>
  <c r="AD208" i="1"/>
  <c r="AD209" i="1"/>
  <c r="AD210" i="1"/>
  <c r="AD211" i="1"/>
  <c r="AD202" i="1"/>
  <c r="AC203" i="1"/>
  <c r="AC204" i="1"/>
  <c r="AC205" i="1"/>
  <c r="AC206" i="1"/>
  <c r="AC207" i="1"/>
  <c r="AC208" i="1"/>
  <c r="AC209" i="1"/>
  <c r="AC210" i="1"/>
  <c r="AC211" i="1"/>
  <c r="AC202" i="1"/>
  <c r="AB203" i="1"/>
  <c r="AB204" i="1"/>
  <c r="AB205" i="1"/>
  <c r="AB206" i="1"/>
  <c r="AB207" i="1"/>
  <c r="AB208" i="1"/>
  <c r="AB209" i="1"/>
  <c r="AB210" i="1"/>
  <c r="AB211" i="1"/>
  <c r="AB202" i="1"/>
  <c r="AA203" i="1"/>
  <c r="AA204" i="1"/>
  <c r="AA205" i="1"/>
  <c r="AA206" i="1"/>
  <c r="AA207" i="1"/>
  <c r="AA208" i="1"/>
  <c r="AA209" i="1"/>
  <c r="AA210" i="1"/>
  <c r="AA211" i="1"/>
  <c r="AA202" i="1"/>
  <c r="Z203" i="1"/>
  <c r="Z204" i="1"/>
  <c r="Z205" i="1"/>
  <c r="Z206" i="1"/>
  <c r="Z207" i="1"/>
  <c r="Z208" i="1"/>
  <c r="Z209" i="1"/>
  <c r="Z210" i="1"/>
  <c r="Z211" i="1"/>
  <c r="Z202" i="1"/>
  <c r="Y203" i="1"/>
  <c r="Y204" i="1"/>
  <c r="Y205" i="1"/>
  <c r="Y206" i="1"/>
  <c r="Y207" i="1"/>
  <c r="Y208" i="1"/>
  <c r="Y209" i="1"/>
  <c r="Y210" i="1"/>
  <c r="Y211" i="1"/>
  <c r="Y202" i="1"/>
  <c r="X203" i="1"/>
  <c r="X204" i="1"/>
  <c r="X205" i="1"/>
  <c r="X206" i="1"/>
  <c r="X207" i="1"/>
  <c r="X208" i="1"/>
  <c r="X209" i="1"/>
  <c r="X210" i="1"/>
  <c r="X211" i="1"/>
  <c r="X202" i="1"/>
  <c r="T203" i="1"/>
  <c r="T204" i="1"/>
  <c r="T205" i="1"/>
  <c r="T206" i="1"/>
  <c r="T207" i="1"/>
  <c r="T208" i="1"/>
  <c r="T209" i="1"/>
  <c r="T210" i="1"/>
  <c r="T211" i="1"/>
  <c r="T202" i="1"/>
  <c r="S203" i="1"/>
  <c r="S204" i="1"/>
  <c r="S205" i="1"/>
  <c r="S206" i="1"/>
  <c r="S207" i="1"/>
  <c r="S208" i="1"/>
  <c r="S209" i="1"/>
  <c r="S210" i="1"/>
  <c r="S211" i="1"/>
  <c r="S202" i="1"/>
  <c r="R203" i="1"/>
  <c r="R204" i="1"/>
  <c r="R205" i="1"/>
  <c r="R206" i="1"/>
  <c r="R207" i="1"/>
  <c r="R208" i="1"/>
  <c r="R209" i="1"/>
  <c r="R210" i="1"/>
  <c r="R211" i="1"/>
  <c r="R202" i="1"/>
  <c r="Q203" i="1"/>
  <c r="Q204" i="1"/>
  <c r="Q205" i="1"/>
  <c r="Q206" i="1"/>
  <c r="Q207" i="1"/>
  <c r="Q208" i="1"/>
  <c r="Q209" i="1"/>
  <c r="Q210" i="1"/>
  <c r="Q211" i="1"/>
  <c r="Q202" i="1"/>
  <c r="P203" i="1"/>
  <c r="P204" i="1"/>
  <c r="P205" i="1"/>
  <c r="P206" i="1"/>
  <c r="P207" i="1"/>
  <c r="P208" i="1"/>
  <c r="P209" i="1"/>
  <c r="P210" i="1"/>
  <c r="P211" i="1"/>
  <c r="P202" i="1"/>
  <c r="O203" i="1"/>
  <c r="O204" i="1"/>
  <c r="O205" i="1"/>
  <c r="O206" i="1"/>
  <c r="O207" i="1"/>
  <c r="O208" i="1"/>
  <c r="O209" i="1"/>
  <c r="O210" i="1"/>
  <c r="O211" i="1"/>
  <c r="O202" i="1"/>
  <c r="N203" i="1"/>
  <c r="N204" i="1"/>
  <c r="N205" i="1"/>
  <c r="N206" i="1"/>
  <c r="N207" i="1"/>
  <c r="N208" i="1"/>
  <c r="N209" i="1"/>
  <c r="N210" i="1"/>
  <c r="N211" i="1"/>
  <c r="N202" i="1"/>
  <c r="M203" i="1"/>
  <c r="M204" i="1"/>
  <c r="M205" i="1"/>
  <c r="M206" i="1"/>
  <c r="M207" i="1"/>
  <c r="M208" i="1"/>
  <c r="M209" i="1"/>
  <c r="M210" i="1"/>
  <c r="M211" i="1"/>
  <c r="M202" i="1"/>
  <c r="I203" i="1"/>
  <c r="I204" i="1"/>
  <c r="I205" i="1"/>
  <c r="I206" i="1"/>
  <c r="I207" i="1"/>
  <c r="I208" i="1"/>
  <c r="I209" i="1"/>
  <c r="I210" i="1"/>
  <c r="I211" i="1"/>
  <c r="I202" i="1"/>
  <c r="H203" i="1"/>
  <c r="H204" i="1"/>
  <c r="H205" i="1"/>
  <c r="H206" i="1"/>
  <c r="H207" i="1"/>
  <c r="H208" i="1"/>
  <c r="H209" i="1"/>
  <c r="H210" i="1"/>
  <c r="H211" i="1"/>
  <c r="H202" i="1"/>
  <c r="G203" i="1"/>
  <c r="G204" i="1"/>
  <c r="G205" i="1"/>
  <c r="G206" i="1"/>
  <c r="G207" i="1"/>
  <c r="G208" i="1"/>
  <c r="G209" i="1"/>
  <c r="G210" i="1"/>
  <c r="G211" i="1"/>
  <c r="G202" i="1"/>
  <c r="F203" i="1"/>
  <c r="F204" i="1"/>
  <c r="F205" i="1"/>
  <c r="F206" i="1"/>
  <c r="F207" i="1"/>
  <c r="F208" i="1"/>
  <c r="F209" i="1"/>
  <c r="F210" i="1"/>
  <c r="F211" i="1"/>
  <c r="F202" i="1"/>
  <c r="E203" i="1"/>
  <c r="E204" i="1"/>
  <c r="E205" i="1"/>
  <c r="E206" i="1"/>
  <c r="E207" i="1"/>
  <c r="E208" i="1"/>
  <c r="E209" i="1"/>
  <c r="E210" i="1"/>
  <c r="E211" i="1"/>
  <c r="E202" i="1"/>
  <c r="D203" i="1"/>
  <c r="D204" i="1"/>
  <c r="D205" i="1"/>
  <c r="D206" i="1"/>
  <c r="D207" i="1"/>
  <c r="D208" i="1"/>
  <c r="D209" i="1"/>
  <c r="D210" i="1"/>
  <c r="D211" i="1"/>
  <c r="D202" i="1"/>
  <c r="C203" i="1"/>
  <c r="C204" i="1"/>
  <c r="C205" i="1"/>
  <c r="C206" i="1"/>
  <c r="C207" i="1"/>
  <c r="C208" i="1"/>
  <c r="C209" i="1"/>
  <c r="C210" i="1"/>
  <c r="C211" i="1"/>
  <c r="C202" i="1"/>
  <c r="B203" i="1"/>
  <c r="B204" i="1"/>
  <c r="B205" i="1"/>
  <c r="B206" i="1"/>
  <c r="B207" i="1"/>
  <c r="B208" i="1"/>
  <c r="B209" i="1"/>
  <c r="B210" i="1"/>
  <c r="B211" i="1"/>
  <c r="B202" i="1"/>
  <c r="AP171" i="1" a="1"/>
  <c r="AP171" i="1" s="1"/>
  <c r="AO171" i="1" a="1"/>
  <c r="AO171" i="1" s="1"/>
  <c r="AN171" i="1" a="1"/>
  <c r="AN171" i="1" s="1"/>
  <c r="AM171" i="1" a="1"/>
  <c r="AM171" i="1" s="1"/>
  <c r="AL171" i="1" a="1"/>
  <c r="AL171" i="1" s="1"/>
  <c r="AK171" i="1" a="1"/>
  <c r="AK171" i="1" s="1"/>
  <c r="AJ171" i="1" a="1"/>
  <c r="AJ171" i="1" s="1"/>
  <c r="AI171" i="1" a="1"/>
  <c r="AI171" i="1" s="1"/>
  <c r="AE171" i="1" a="1"/>
  <c r="AE171" i="1" s="1"/>
  <c r="AD171" i="1" a="1"/>
  <c r="AD171" i="1" s="1"/>
  <c r="AC171" i="1" a="1"/>
  <c r="AC171" i="1" s="1"/>
  <c r="AB171" i="1" a="1"/>
  <c r="AB171" i="1" s="1"/>
  <c r="AA171" i="1" a="1"/>
  <c r="AA171" i="1" s="1"/>
  <c r="Z171" i="1" a="1"/>
  <c r="Z171" i="1" s="1"/>
  <c r="Y171" i="1" a="1"/>
  <c r="Y171" i="1" s="1"/>
  <c r="X171" i="1" a="1"/>
  <c r="X171" i="1" s="1"/>
  <c r="T171" i="1" a="1"/>
  <c r="T171" i="1" s="1"/>
  <c r="S171" i="1" a="1"/>
  <c r="S171" i="1" s="1"/>
  <c r="R171" i="1" a="1"/>
  <c r="R171" i="1" s="1"/>
  <c r="Q171" i="1" a="1"/>
  <c r="Q171" i="1" s="1"/>
  <c r="P171" i="1" a="1"/>
  <c r="P171" i="1" s="1"/>
  <c r="O171" i="1" a="1"/>
  <c r="O171" i="1" s="1"/>
  <c r="N171" i="1" a="1"/>
  <c r="N171" i="1" s="1"/>
  <c r="M171" i="1" a="1"/>
  <c r="M171" i="1" s="1"/>
  <c r="I171" i="1" a="1"/>
  <c r="I171" i="1" s="1"/>
  <c r="H171" i="1" a="1"/>
  <c r="H171" i="1" s="1"/>
  <c r="G171" i="1" a="1"/>
  <c r="G171" i="1" s="1"/>
  <c r="F171" i="1" a="1"/>
  <c r="F171" i="1" s="1"/>
  <c r="E171" i="1" a="1"/>
  <c r="E171" i="1" s="1"/>
  <c r="D171" i="1" a="1"/>
  <c r="D171" i="1" s="1"/>
  <c r="C171" i="1" a="1"/>
  <c r="C171" i="1" s="1"/>
  <c r="B171" i="1" a="1"/>
  <c r="B171" i="1" s="1"/>
  <c r="C146" i="1"/>
  <c r="D146" i="1"/>
  <c r="E146" i="1"/>
  <c r="F146" i="1"/>
  <c r="F148" i="1" s="1"/>
  <c r="G146" i="1"/>
  <c r="H146" i="1"/>
  <c r="I146" i="1"/>
  <c r="I148" i="1" s="1"/>
  <c r="J146" i="1"/>
  <c r="J148" i="1" s="1"/>
  <c r="J145" i="1"/>
  <c r="I145" i="1"/>
  <c r="H145" i="1"/>
  <c r="G145" i="1"/>
  <c r="F145" i="1"/>
  <c r="E145" i="1"/>
  <c r="D145" i="1"/>
  <c r="D148" i="1" s="1"/>
  <c r="C145" i="1"/>
  <c r="P146" i="1"/>
  <c r="Q146" i="1"/>
  <c r="R146" i="1"/>
  <c r="S146" i="1"/>
  <c r="T146" i="1"/>
  <c r="U146" i="1"/>
  <c r="V146" i="1"/>
  <c r="W146" i="1"/>
  <c r="W145" i="1"/>
  <c r="V145" i="1"/>
  <c r="U145" i="1"/>
  <c r="T145" i="1"/>
  <c r="S145" i="1"/>
  <c r="R145" i="1"/>
  <c r="Q145" i="1"/>
  <c r="P145" i="1"/>
  <c r="D147" i="1"/>
  <c r="F147" i="1"/>
  <c r="I147" i="1"/>
  <c r="J147" i="1"/>
  <c r="AR115" i="1"/>
  <c r="AQ115" i="1"/>
  <c r="AP115" i="1"/>
  <c r="AO115" i="1"/>
  <c r="AN115" i="1"/>
  <c r="AM115" i="1"/>
  <c r="AL115" i="1"/>
  <c r="AK115" i="1"/>
  <c r="AJ115" i="1"/>
  <c r="AG115" i="1"/>
  <c r="AF115" i="1"/>
  <c r="AE115" i="1"/>
  <c r="AD115" i="1"/>
  <c r="AC115" i="1"/>
  <c r="AB115" i="1"/>
  <c r="AA115" i="1"/>
  <c r="Z115" i="1"/>
  <c r="Y115" i="1"/>
  <c r="V115" i="1"/>
  <c r="U115" i="1"/>
  <c r="T115" i="1"/>
  <c r="S115" i="1"/>
  <c r="R115" i="1"/>
  <c r="Q115" i="1"/>
  <c r="P115" i="1"/>
  <c r="O115" i="1"/>
  <c r="N115" i="1"/>
  <c r="K115" i="1"/>
  <c r="J115" i="1"/>
  <c r="I115" i="1"/>
  <c r="H115" i="1"/>
  <c r="G115" i="1"/>
  <c r="F115" i="1"/>
  <c r="E115" i="1"/>
  <c r="D115" i="1"/>
  <c r="C115" i="1"/>
  <c r="AR102" i="1"/>
  <c r="AQ102" i="1"/>
  <c r="AP102" i="1"/>
  <c r="AO102" i="1"/>
  <c r="AN102" i="1"/>
  <c r="AM102" i="1"/>
  <c r="AL102" i="1"/>
  <c r="AK102" i="1"/>
  <c r="AJ102" i="1"/>
  <c r="AG102" i="1"/>
  <c r="AF102" i="1"/>
  <c r="AE102" i="1"/>
  <c r="AD102" i="1"/>
  <c r="AC102" i="1"/>
  <c r="AB102" i="1"/>
  <c r="AA102" i="1"/>
  <c r="Z102" i="1"/>
  <c r="Y102" i="1"/>
  <c r="V102" i="1"/>
  <c r="U102" i="1"/>
  <c r="T102" i="1"/>
  <c r="S102" i="1"/>
  <c r="R102" i="1"/>
  <c r="Q102" i="1"/>
  <c r="P102" i="1"/>
  <c r="O102" i="1"/>
  <c r="N102" i="1"/>
  <c r="K102" i="1"/>
  <c r="J102" i="1"/>
  <c r="I102" i="1"/>
  <c r="H102" i="1"/>
  <c r="G102" i="1"/>
  <c r="F102" i="1"/>
  <c r="E102" i="1"/>
  <c r="D102" i="1"/>
  <c r="C102" i="1"/>
  <c r="AR89" i="1"/>
  <c r="AQ89" i="1"/>
  <c r="AP89" i="1"/>
  <c r="AO89" i="1"/>
  <c r="AN89" i="1"/>
  <c r="AM89" i="1"/>
  <c r="AL89" i="1"/>
  <c r="AK89" i="1"/>
  <c r="AJ89" i="1"/>
  <c r="AG89" i="1"/>
  <c r="AF89" i="1"/>
  <c r="AE89" i="1"/>
  <c r="AD89" i="1"/>
  <c r="AC89" i="1"/>
  <c r="AB89" i="1"/>
  <c r="AA89" i="1"/>
  <c r="Z89" i="1"/>
  <c r="Y89" i="1"/>
  <c r="V89" i="1"/>
  <c r="U89" i="1"/>
  <c r="T89" i="1"/>
  <c r="S89" i="1"/>
  <c r="R89" i="1"/>
  <c r="Q89" i="1"/>
  <c r="P89" i="1"/>
  <c r="O89" i="1"/>
  <c r="N89" i="1"/>
  <c r="K89" i="1"/>
  <c r="J89" i="1"/>
  <c r="I89" i="1"/>
  <c r="H89" i="1"/>
  <c r="G89" i="1"/>
  <c r="F89" i="1"/>
  <c r="E89" i="1"/>
  <c r="D89" i="1"/>
  <c r="C89" i="1"/>
  <c r="AR75" i="1"/>
  <c r="AQ75" i="1"/>
  <c r="AP75" i="1"/>
  <c r="AO75" i="1"/>
  <c r="AN75" i="1"/>
  <c r="AM75" i="1"/>
  <c r="AL75" i="1"/>
  <c r="AK75" i="1"/>
  <c r="AJ75" i="1"/>
  <c r="AG75" i="1"/>
  <c r="AF75" i="1"/>
  <c r="AE75" i="1"/>
  <c r="AD75" i="1"/>
  <c r="AC75" i="1"/>
  <c r="AB75" i="1"/>
  <c r="AA75" i="1"/>
  <c r="Z75" i="1"/>
  <c r="Y75" i="1"/>
  <c r="V75" i="1"/>
  <c r="U75" i="1"/>
  <c r="T75" i="1"/>
  <c r="S75" i="1"/>
  <c r="R75" i="1"/>
  <c r="Q75" i="1"/>
  <c r="P75" i="1"/>
  <c r="O75" i="1"/>
  <c r="N75" i="1"/>
  <c r="K75" i="1"/>
  <c r="J75" i="1"/>
  <c r="I75" i="1"/>
  <c r="H75" i="1"/>
  <c r="G75" i="1"/>
  <c r="F75" i="1"/>
  <c r="E75" i="1"/>
  <c r="D75" i="1"/>
  <c r="C75" i="1"/>
  <c r="AR61" i="1"/>
  <c r="AQ61" i="1"/>
  <c r="AP61" i="1"/>
  <c r="AO61" i="1"/>
  <c r="AN61" i="1"/>
  <c r="AM61" i="1"/>
  <c r="AL61" i="1"/>
  <c r="AK61" i="1"/>
  <c r="AJ61" i="1"/>
  <c r="AG61" i="1"/>
  <c r="AF61" i="1"/>
  <c r="AE61" i="1"/>
  <c r="AD61" i="1"/>
  <c r="AC61" i="1"/>
  <c r="AB61" i="1"/>
  <c r="AA61" i="1"/>
  <c r="Z61" i="1"/>
  <c r="Y61" i="1"/>
  <c r="V61" i="1"/>
  <c r="U61" i="1"/>
  <c r="T61" i="1"/>
  <c r="S61" i="1"/>
  <c r="R61" i="1"/>
  <c r="Q61" i="1"/>
  <c r="P61" i="1"/>
  <c r="O61" i="1"/>
  <c r="N61" i="1"/>
  <c r="K61" i="1"/>
  <c r="J61" i="1"/>
  <c r="I61" i="1"/>
  <c r="H61" i="1"/>
  <c r="G61" i="1"/>
  <c r="F61" i="1"/>
  <c r="E61" i="1"/>
  <c r="D61" i="1"/>
  <c r="C61" i="1"/>
  <c r="AR44" i="1"/>
  <c r="AQ44" i="1"/>
  <c r="AP44" i="1"/>
  <c r="AO44" i="1"/>
  <c r="AN44" i="1"/>
  <c r="AM44" i="1"/>
  <c r="AL44" i="1"/>
  <c r="AK44" i="1"/>
  <c r="AJ44" i="1"/>
  <c r="AG44" i="1"/>
  <c r="AF44" i="1"/>
  <c r="AE44" i="1"/>
  <c r="AD44" i="1"/>
  <c r="AC44" i="1"/>
  <c r="AB44" i="1"/>
  <c r="AA44" i="1"/>
  <c r="Z44" i="1"/>
  <c r="Y44" i="1"/>
  <c r="V44" i="1"/>
  <c r="U44" i="1"/>
  <c r="T44" i="1"/>
  <c r="S44" i="1"/>
  <c r="R44" i="1"/>
  <c r="Q44" i="1"/>
  <c r="P44" i="1"/>
  <c r="O44" i="1"/>
  <c r="N44" i="1"/>
  <c r="K44" i="1"/>
  <c r="J44" i="1"/>
  <c r="I44" i="1"/>
  <c r="H44" i="1"/>
  <c r="G44" i="1"/>
  <c r="F44" i="1"/>
  <c r="E44" i="1"/>
  <c r="D44" i="1"/>
  <c r="C44" i="1"/>
  <c r="AR30" i="1"/>
  <c r="AQ30" i="1"/>
  <c r="AP30" i="1"/>
  <c r="AO30" i="1"/>
  <c r="AN30" i="1"/>
  <c r="AM30" i="1"/>
  <c r="AL30" i="1"/>
  <c r="AK30" i="1"/>
  <c r="AJ30" i="1"/>
  <c r="AG30" i="1"/>
  <c r="AF30" i="1"/>
  <c r="AE30" i="1"/>
  <c r="AD30" i="1"/>
  <c r="AC30" i="1"/>
  <c r="AB30" i="1"/>
  <c r="AA30" i="1"/>
  <c r="Z30" i="1"/>
  <c r="Y30" i="1"/>
  <c r="V30" i="1"/>
  <c r="U30" i="1"/>
  <c r="T30" i="1"/>
  <c r="S30" i="1"/>
  <c r="R30" i="1"/>
  <c r="Q30" i="1"/>
  <c r="P30" i="1"/>
  <c r="O30" i="1"/>
  <c r="N30" i="1"/>
  <c r="K30" i="1"/>
  <c r="J30" i="1"/>
  <c r="I30" i="1"/>
  <c r="H30" i="1"/>
  <c r="G30" i="1"/>
  <c r="F30" i="1"/>
  <c r="E30" i="1"/>
  <c r="D30" i="1"/>
  <c r="C30" i="1"/>
  <c r="AR14" i="1"/>
  <c r="AQ14" i="1"/>
  <c r="AP14" i="1"/>
  <c r="AO14" i="1"/>
  <c r="AN14" i="1"/>
  <c r="AM14" i="1"/>
  <c r="AL14" i="1"/>
  <c r="AK14" i="1"/>
  <c r="AJ14" i="1"/>
  <c r="AG14" i="1"/>
  <c r="AF14" i="1"/>
  <c r="AE14" i="1"/>
  <c r="AD14" i="1"/>
  <c r="AC14" i="1"/>
  <c r="AB14" i="1"/>
  <c r="AA14" i="1"/>
  <c r="Z14" i="1"/>
  <c r="Y14" i="1"/>
  <c r="V14" i="1"/>
  <c r="U14" i="1"/>
  <c r="T14" i="1"/>
  <c r="S14" i="1"/>
  <c r="R14" i="1"/>
  <c r="Q14" i="1"/>
  <c r="P14" i="1"/>
  <c r="O14" i="1"/>
  <c r="N14" i="1"/>
  <c r="D14" i="1"/>
  <c r="E14" i="1"/>
  <c r="F14" i="1"/>
  <c r="G14" i="1"/>
  <c r="H14" i="1"/>
  <c r="I14" i="1"/>
  <c r="J14" i="1"/>
  <c r="K14" i="1"/>
  <c r="C14" i="1"/>
  <c r="B313" i="2" a="1"/>
  <c r="B313" i="2" s="1"/>
  <c r="B303" i="2" a="1"/>
  <c r="B303" i="2" s="1"/>
  <c r="B293" i="2" a="1"/>
  <c r="B293" i="2" s="1"/>
  <c r="B283" i="2" a="1"/>
  <c r="B283" i="2" s="1"/>
  <c r="B273" i="2" a="1"/>
  <c r="B273" i="2" s="1"/>
  <c r="B263" i="2" a="1"/>
  <c r="B263" i="2" s="1"/>
  <c r="B253" i="2" a="1"/>
  <c r="B253" i="2" s="1"/>
  <c r="B243" i="2" a="1"/>
  <c r="B243" i="2" s="1"/>
  <c r="B233" i="2" a="1"/>
  <c r="B233" i="2" s="1"/>
  <c r="B223" i="2" a="1"/>
  <c r="B223" i="2" s="1"/>
  <c r="B213" i="2" a="1"/>
  <c r="B213" i="2" s="1"/>
  <c r="B203" i="2" a="1"/>
  <c r="B203" i="2" s="1"/>
  <c r="B193" i="2" a="1"/>
  <c r="B193" i="2" s="1"/>
  <c r="B183" i="2" a="1"/>
  <c r="B183" i="2" s="1"/>
  <c r="B173" i="2" a="1"/>
  <c r="B173" i="2" s="1"/>
  <c r="B163" i="2" a="1"/>
  <c r="B163" i="2" s="1"/>
  <c r="B153" i="2" a="1"/>
  <c r="B153" i="2" s="1"/>
  <c r="B143" i="2" a="1"/>
  <c r="B143" i="2" s="1"/>
  <c r="B133" i="2" a="1"/>
  <c r="B133" i="2" s="1"/>
  <c r="B123" i="2" a="1"/>
  <c r="B123" i="2" s="1"/>
  <c r="B113" i="2" a="1"/>
  <c r="B113" i="2" s="1"/>
  <c r="B103" i="2" a="1"/>
  <c r="B103" i="2" s="1"/>
  <c r="B93" i="2" a="1"/>
  <c r="B93" i="2" s="1"/>
  <c r="B83" i="2" a="1"/>
  <c r="B83" i="2" s="1"/>
  <c r="B73" i="2" a="1"/>
  <c r="B73" i="2" s="1"/>
  <c r="B63" i="2" a="1"/>
  <c r="B63" i="2" s="1"/>
  <c r="B53" i="2" a="1"/>
  <c r="B53" i="2" s="1"/>
  <c r="B43" i="2" a="1"/>
  <c r="B43" i="2" s="1"/>
  <c r="B33" i="2" a="1"/>
  <c r="B33" i="2" s="1"/>
  <c r="B23" i="2" a="1"/>
  <c r="B23" i="2" s="1"/>
  <c r="B13" i="2" a="1"/>
  <c r="B13" i="2" s="1"/>
  <c r="B3" i="2" a="1"/>
  <c r="B3" i="2" s="1"/>
  <c r="A313" i="2" a="1"/>
  <c r="A313" i="2" s="1"/>
  <c r="A303" i="2" a="1"/>
  <c r="A303" i="2" s="1"/>
  <c r="A293" i="2" a="1"/>
  <c r="A293" i="2" s="1"/>
  <c r="A283" i="2" a="1"/>
  <c r="A283" i="2" s="1"/>
  <c r="A273" i="2" a="1"/>
  <c r="A273" i="2" s="1"/>
  <c r="A263" i="2" a="1"/>
  <c r="A263" i="2" s="1"/>
  <c r="A253" i="2" a="1"/>
  <c r="A253" i="2" s="1"/>
  <c r="A243" i="2" a="1"/>
  <c r="A243" i="2" s="1"/>
  <c r="A233" i="2" a="1"/>
  <c r="A233" i="2" s="1"/>
  <c r="A223" i="2" a="1"/>
  <c r="A223" i="2" s="1"/>
  <c r="A213" i="2" a="1"/>
  <c r="A213" i="2" s="1"/>
  <c r="A203" i="2" a="1"/>
  <c r="A203" i="2" s="1"/>
  <c r="A193" i="2" a="1"/>
  <c r="A193" i="2" s="1"/>
  <c r="A183" i="2" a="1"/>
  <c r="A183" i="2" s="1"/>
  <c r="A173" i="2" a="1"/>
  <c r="A173" i="2" s="1"/>
  <c r="A163" i="2" a="1"/>
  <c r="A163" i="2" s="1"/>
  <c r="A153" i="2" a="1"/>
  <c r="A153" i="2" s="1"/>
  <c r="A143" i="2" a="1"/>
  <c r="A143" i="2" s="1"/>
  <c r="A133" i="2" a="1"/>
  <c r="A133" i="2" s="1"/>
  <c r="A123" i="2" a="1"/>
  <c r="A123" i="2" s="1"/>
  <c r="A113" i="2" a="1"/>
  <c r="A113" i="2" s="1"/>
  <c r="A103" i="2" a="1"/>
  <c r="A103" i="2" s="1"/>
  <c r="A93" i="2" a="1"/>
  <c r="A93" i="2" s="1"/>
  <c r="A83" i="2" a="1"/>
  <c r="A83" i="2" s="1"/>
  <c r="A73" i="2" a="1"/>
  <c r="A73" i="2" s="1"/>
  <c r="A63" i="2" a="1"/>
  <c r="A63" i="2" s="1"/>
  <c r="A53" i="2" a="1"/>
  <c r="A53" i="2" s="1"/>
  <c r="A43" i="2" a="1"/>
  <c r="A43" i="2" s="1"/>
  <c r="A33" i="2" a="1"/>
  <c r="A33" i="2" s="1"/>
  <c r="A23" i="2" a="1"/>
  <c r="A23" i="2" s="1"/>
  <c r="A13" i="2" a="1"/>
  <c r="A13" i="2" s="1"/>
  <c r="A3" i="2" a="1"/>
  <c r="A3" i="2" s="1"/>
  <c r="H147" i="1" l="1"/>
  <c r="H148" i="1"/>
  <c r="G148" i="1"/>
  <c r="G147" i="1"/>
  <c r="E147" i="1"/>
  <c r="E148" i="1"/>
  <c r="C147" i="1"/>
  <c r="C148" i="1"/>
  <c r="W147" i="1"/>
  <c r="W148" i="1"/>
  <c r="V148" i="1"/>
  <c r="V147" i="1"/>
  <c r="U148" i="1"/>
  <c r="U147" i="1"/>
  <c r="T148" i="1"/>
  <c r="T147" i="1"/>
  <c r="S148" i="1"/>
  <c r="S147" i="1"/>
  <c r="R148" i="1"/>
  <c r="R147" i="1"/>
  <c r="Q148" i="1"/>
  <c r="Q147" i="1"/>
  <c r="P148" i="1"/>
  <c r="P147" i="1"/>
  <c r="D7" i="2"/>
  <c r="D6" i="2"/>
  <c r="E3" i="2"/>
  <c r="E6" i="2"/>
  <c r="E7" i="2"/>
  <c r="E4" i="2"/>
  <c r="E5" i="2"/>
  <c r="D3" i="2"/>
  <c r="D4" i="2"/>
  <c r="D5" i="2"/>
  <c r="AR114" i="1"/>
  <c r="AR127" i="1" s="1"/>
  <c r="AC140" i="1" s="1"/>
  <c r="AG114" i="1"/>
  <c r="AG127" i="1" s="1"/>
  <c r="Z140" i="1" s="1"/>
  <c r="V114" i="1"/>
  <c r="V127" i="1" s="1"/>
  <c r="W140" i="1" s="1"/>
  <c r="K114" i="1"/>
  <c r="K127" i="1" s="1"/>
  <c r="T140" i="1" s="1"/>
  <c r="AR101" i="1"/>
  <c r="AR126" i="1" s="1"/>
  <c r="AC139" i="1" s="1"/>
  <c r="AG101" i="1"/>
  <c r="AG126" i="1" s="1"/>
  <c r="Z139" i="1" s="1"/>
  <c r="V101" i="1"/>
  <c r="V126" i="1" s="1"/>
  <c r="W139" i="1" s="1"/>
  <c r="K101" i="1"/>
  <c r="K126" i="1" s="1"/>
  <c r="T139" i="1" s="1"/>
  <c r="AR88" i="1"/>
  <c r="AR125" i="1" s="1"/>
  <c r="AG88" i="1"/>
  <c r="AG125" i="1" s="1"/>
  <c r="V88" i="1"/>
  <c r="V125" i="1" s="1"/>
  <c r="K88" i="1"/>
  <c r="K125" i="1" s="1"/>
  <c r="AR74" i="1"/>
  <c r="AR124" i="1" s="1"/>
  <c r="AC137" i="1" s="1"/>
  <c r="AG74" i="1"/>
  <c r="AG124" i="1" s="1"/>
  <c r="Z137" i="1" s="1"/>
  <c r="V74" i="1"/>
  <c r="V124" i="1" s="1"/>
  <c r="W137" i="1" s="1"/>
  <c r="K74" i="1"/>
  <c r="K124" i="1" s="1"/>
  <c r="T137" i="1" s="1"/>
  <c r="AR60" i="1"/>
  <c r="AR123" i="1" s="1"/>
  <c r="AC136" i="1" s="1"/>
  <c r="AG60" i="1"/>
  <c r="AG123" i="1" s="1"/>
  <c r="Z136" i="1" s="1"/>
  <c r="V60" i="1"/>
  <c r="V123" i="1" s="1"/>
  <c r="W136" i="1" s="1"/>
  <c r="K60" i="1"/>
  <c r="K123" i="1" s="1"/>
  <c r="T136" i="1" s="1"/>
  <c r="AR43" i="1"/>
  <c r="AR122" i="1" s="1"/>
  <c r="AC135" i="1" s="1"/>
  <c r="AG43" i="1"/>
  <c r="AG122" i="1" s="1"/>
  <c r="Z135" i="1" s="1"/>
  <c r="V43" i="1"/>
  <c r="V122" i="1" s="1"/>
  <c r="W135" i="1" s="1"/>
  <c r="K43" i="1"/>
  <c r="K122" i="1" s="1"/>
  <c r="T135" i="1" s="1"/>
  <c r="AR29" i="1"/>
  <c r="AR121" i="1" s="1"/>
  <c r="AC134" i="1" s="1"/>
  <c r="AG29" i="1"/>
  <c r="AG121" i="1" s="1"/>
  <c r="Z134" i="1" s="1"/>
  <c r="V29" i="1"/>
  <c r="V121" i="1" s="1"/>
  <c r="W134" i="1" s="1"/>
  <c r="K29" i="1"/>
  <c r="K121" i="1" s="1"/>
  <c r="T134" i="1" s="1"/>
  <c r="AR13" i="1"/>
  <c r="AR120" i="1" s="1"/>
  <c r="AC133" i="1" s="1"/>
  <c r="AG13" i="1"/>
  <c r="AG120" i="1" s="1"/>
  <c r="Z133" i="1" s="1"/>
  <c r="V13" i="1"/>
  <c r="V120" i="1" s="1"/>
  <c r="W133" i="1" s="1"/>
  <c r="K13" i="1"/>
  <c r="K120" i="1" s="1"/>
  <c r="T133" i="1" s="1"/>
  <c r="AQ114" i="1"/>
  <c r="AQ127" i="1" s="1"/>
  <c r="AB140" i="1" s="1"/>
  <c r="AP114" i="1"/>
  <c r="AP127" i="1" s="1"/>
  <c r="AA140" i="1" s="1"/>
  <c r="AO114" i="1"/>
  <c r="AO127" i="1" s="1"/>
  <c r="AN114" i="1"/>
  <c r="AN127" i="1" s="1"/>
  <c r="M140" i="1" s="1"/>
  <c r="AM114" i="1"/>
  <c r="AM127" i="1" s="1"/>
  <c r="AL114" i="1"/>
  <c r="AL127" i="1" s="1"/>
  <c r="L140" i="1" s="1"/>
  <c r="AK114" i="1"/>
  <c r="AK127" i="1" s="1"/>
  <c r="AJ114" i="1"/>
  <c r="AJ127" i="1" s="1"/>
  <c r="K140" i="1" s="1"/>
  <c r="AF114" i="1"/>
  <c r="AF127" i="1" s="1"/>
  <c r="Y140" i="1" s="1"/>
  <c r="AE114" i="1"/>
  <c r="AE127" i="1" s="1"/>
  <c r="X140" i="1" s="1"/>
  <c r="AD114" i="1"/>
  <c r="AD127" i="1" s="1"/>
  <c r="AC114" i="1"/>
  <c r="AC127" i="1" s="1"/>
  <c r="J140" i="1" s="1"/>
  <c r="AB114" i="1"/>
  <c r="AB127" i="1" s="1"/>
  <c r="AA114" i="1"/>
  <c r="AA127" i="1" s="1"/>
  <c r="I140" i="1" s="1"/>
  <c r="Z114" i="1"/>
  <c r="Z127" i="1" s="1"/>
  <c r="Y114" i="1"/>
  <c r="Y127" i="1" s="1"/>
  <c r="H140" i="1" s="1"/>
  <c r="U114" i="1"/>
  <c r="U127" i="1" s="1"/>
  <c r="V140" i="1" s="1"/>
  <c r="T114" i="1"/>
  <c r="T127" i="1" s="1"/>
  <c r="U140" i="1" s="1"/>
  <c r="S114" i="1"/>
  <c r="S127" i="1" s="1"/>
  <c r="R114" i="1"/>
  <c r="R127" i="1" s="1"/>
  <c r="G140" i="1" s="1"/>
  <c r="Q114" i="1"/>
  <c r="Q127" i="1" s="1"/>
  <c r="P114" i="1"/>
  <c r="P127" i="1" s="1"/>
  <c r="F140" i="1" s="1"/>
  <c r="O114" i="1"/>
  <c r="O127" i="1" s="1"/>
  <c r="N114" i="1"/>
  <c r="N127" i="1" s="1"/>
  <c r="E140" i="1" s="1"/>
  <c r="J114" i="1"/>
  <c r="J127" i="1" s="1"/>
  <c r="S140" i="1" s="1"/>
  <c r="I114" i="1"/>
  <c r="I127" i="1" s="1"/>
  <c r="R140" i="1" s="1"/>
  <c r="H114" i="1"/>
  <c r="H127" i="1" s="1"/>
  <c r="G114" i="1"/>
  <c r="G127" i="1" s="1"/>
  <c r="D140" i="1" s="1"/>
  <c r="F114" i="1"/>
  <c r="F127" i="1" s="1"/>
  <c r="E114" i="1"/>
  <c r="E127" i="1" s="1"/>
  <c r="C140" i="1" s="1"/>
  <c r="D114" i="1"/>
  <c r="D127" i="1" s="1"/>
  <c r="C114" i="1"/>
  <c r="C127" i="1" s="1"/>
  <c r="B140" i="1" s="1"/>
  <c r="AQ101" i="1"/>
  <c r="AQ126" i="1" s="1"/>
  <c r="AB139" i="1" s="1"/>
  <c r="AP101" i="1"/>
  <c r="AP126" i="1" s="1"/>
  <c r="AA139" i="1" s="1"/>
  <c r="AO101" i="1"/>
  <c r="AO126" i="1" s="1"/>
  <c r="AN101" i="1"/>
  <c r="AN126" i="1" s="1"/>
  <c r="M139" i="1" s="1"/>
  <c r="AM101" i="1"/>
  <c r="AM126" i="1" s="1"/>
  <c r="AL101" i="1"/>
  <c r="AL126" i="1" s="1"/>
  <c r="L139" i="1" s="1"/>
  <c r="AK101" i="1"/>
  <c r="AK126" i="1" s="1"/>
  <c r="AJ101" i="1"/>
  <c r="AJ126" i="1" s="1"/>
  <c r="K139" i="1" s="1"/>
  <c r="AF101" i="1"/>
  <c r="AF126" i="1" s="1"/>
  <c r="Y139" i="1" s="1"/>
  <c r="AE101" i="1"/>
  <c r="AE126" i="1" s="1"/>
  <c r="X139" i="1" s="1"/>
  <c r="AD101" i="1"/>
  <c r="AD126" i="1" s="1"/>
  <c r="AC101" i="1"/>
  <c r="AC126" i="1" s="1"/>
  <c r="J139" i="1" s="1"/>
  <c r="AB101" i="1"/>
  <c r="AB126" i="1" s="1"/>
  <c r="AA101" i="1"/>
  <c r="AA126" i="1" s="1"/>
  <c r="I139" i="1" s="1"/>
  <c r="Z101" i="1"/>
  <c r="Z126" i="1" s="1"/>
  <c r="Y101" i="1"/>
  <c r="Y126" i="1" s="1"/>
  <c r="H139" i="1" s="1"/>
  <c r="U101" i="1"/>
  <c r="U126" i="1" s="1"/>
  <c r="V139" i="1" s="1"/>
  <c r="T101" i="1"/>
  <c r="T126" i="1" s="1"/>
  <c r="U139" i="1" s="1"/>
  <c r="S101" i="1"/>
  <c r="S126" i="1" s="1"/>
  <c r="R101" i="1"/>
  <c r="R126" i="1" s="1"/>
  <c r="G139" i="1" s="1"/>
  <c r="Q101" i="1"/>
  <c r="Q126" i="1" s="1"/>
  <c r="P101" i="1"/>
  <c r="P126" i="1" s="1"/>
  <c r="F139" i="1" s="1"/>
  <c r="O101" i="1"/>
  <c r="O126" i="1" s="1"/>
  <c r="N101" i="1"/>
  <c r="N126" i="1" s="1"/>
  <c r="E139" i="1" s="1"/>
  <c r="J101" i="1"/>
  <c r="J126" i="1" s="1"/>
  <c r="S139" i="1" s="1"/>
  <c r="I101" i="1"/>
  <c r="I126" i="1" s="1"/>
  <c r="R139" i="1" s="1"/>
  <c r="H101" i="1"/>
  <c r="H126" i="1" s="1"/>
  <c r="G101" i="1"/>
  <c r="G126" i="1" s="1"/>
  <c r="D139" i="1" s="1"/>
  <c r="F101" i="1"/>
  <c r="F126" i="1" s="1"/>
  <c r="E101" i="1"/>
  <c r="E126" i="1" s="1"/>
  <c r="C139" i="1" s="1"/>
  <c r="D101" i="1"/>
  <c r="D126" i="1" s="1"/>
  <c r="C101" i="1"/>
  <c r="C126" i="1" s="1"/>
  <c r="B139" i="1" s="1"/>
  <c r="AQ88" i="1"/>
  <c r="AQ125" i="1" s="1"/>
  <c r="AP88" i="1"/>
  <c r="AP125" i="1" s="1"/>
  <c r="AO88" i="1"/>
  <c r="AO125" i="1" s="1"/>
  <c r="AN88" i="1"/>
  <c r="AN125" i="1" s="1"/>
  <c r="AM88" i="1"/>
  <c r="AM125" i="1" s="1"/>
  <c r="AL88" i="1"/>
  <c r="AL125" i="1" s="1"/>
  <c r="AK88" i="1"/>
  <c r="AK125" i="1" s="1"/>
  <c r="AJ88" i="1"/>
  <c r="AJ125" i="1" s="1"/>
  <c r="AF88" i="1"/>
  <c r="AF125" i="1" s="1"/>
  <c r="AE88" i="1"/>
  <c r="AE125" i="1" s="1"/>
  <c r="AD88" i="1"/>
  <c r="AD125" i="1" s="1"/>
  <c r="AC88" i="1"/>
  <c r="AC125" i="1" s="1"/>
  <c r="AB88" i="1"/>
  <c r="AB125" i="1" s="1"/>
  <c r="AA88" i="1"/>
  <c r="AA125" i="1" s="1"/>
  <c r="Z88" i="1"/>
  <c r="Z125" i="1" s="1"/>
  <c r="Y88" i="1"/>
  <c r="Y125" i="1" s="1"/>
  <c r="U88" i="1"/>
  <c r="U125" i="1" s="1"/>
  <c r="T88" i="1"/>
  <c r="T125" i="1" s="1"/>
  <c r="S88" i="1"/>
  <c r="S125" i="1" s="1"/>
  <c r="R88" i="1"/>
  <c r="R125" i="1" s="1"/>
  <c r="Q88" i="1"/>
  <c r="Q125" i="1" s="1"/>
  <c r="P88" i="1"/>
  <c r="P125" i="1" s="1"/>
  <c r="O88" i="1"/>
  <c r="O125" i="1" s="1"/>
  <c r="N88" i="1"/>
  <c r="N125" i="1" s="1"/>
  <c r="J88" i="1"/>
  <c r="J125" i="1" s="1"/>
  <c r="I88" i="1"/>
  <c r="I125" i="1" s="1"/>
  <c r="H88" i="1"/>
  <c r="H125" i="1" s="1"/>
  <c r="G88" i="1"/>
  <c r="G125" i="1" s="1"/>
  <c r="F88" i="1"/>
  <c r="F125" i="1" s="1"/>
  <c r="E88" i="1"/>
  <c r="E125" i="1" s="1"/>
  <c r="D88" i="1"/>
  <c r="D125" i="1" s="1"/>
  <c r="C88" i="1"/>
  <c r="C125" i="1" s="1"/>
  <c r="AQ74" i="1"/>
  <c r="AQ124" i="1" s="1"/>
  <c r="AB137" i="1" s="1"/>
  <c r="AP74" i="1"/>
  <c r="AP124" i="1" s="1"/>
  <c r="AA137" i="1" s="1"/>
  <c r="AO74" i="1"/>
  <c r="AO124" i="1" s="1"/>
  <c r="AN74" i="1"/>
  <c r="AN124" i="1" s="1"/>
  <c r="M137" i="1" s="1"/>
  <c r="AM74" i="1"/>
  <c r="AM124" i="1" s="1"/>
  <c r="AL74" i="1"/>
  <c r="AL124" i="1" s="1"/>
  <c r="L137" i="1" s="1"/>
  <c r="AK74" i="1"/>
  <c r="AK124" i="1" s="1"/>
  <c r="AJ74" i="1"/>
  <c r="AJ124" i="1" s="1"/>
  <c r="K137" i="1" s="1"/>
  <c r="AF74" i="1"/>
  <c r="AF124" i="1" s="1"/>
  <c r="Y137" i="1" s="1"/>
  <c r="AE74" i="1"/>
  <c r="AE124" i="1" s="1"/>
  <c r="X137" i="1" s="1"/>
  <c r="AD74" i="1"/>
  <c r="AD124" i="1" s="1"/>
  <c r="AC74" i="1"/>
  <c r="AC124" i="1" s="1"/>
  <c r="J137" i="1" s="1"/>
  <c r="AB74" i="1"/>
  <c r="AB124" i="1" s="1"/>
  <c r="AA74" i="1"/>
  <c r="AA124" i="1" s="1"/>
  <c r="I137" i="1" s="1"/>
  <c r="Z74" i="1"/>
  <c r="Z124" i="1" s="1"/>
  <c r="Y74" i="1"/>
  <c r="Y124" i="1" s="1"/>
  <c r="H137" i="1" s="1"/>
  <c r="U74" i="1"/>
  <c r="U124" i="1" s="1"/>
  <c r="V137" i="1" s="1"/>
  <c r="T74" i="1"/>
  <c r="T124" i="1" s="1"/>
  <c r="U137" i="1" s="1"/>
  <c r="S74" i="1"/>
  <c r="S124" i="1" s="1"/>
  <c r="R74" i="1"/>
  <c r="R124" i="1" s="1"/>
  <c r="G137" i="1" s="1"/>
  <c r="Q74" i="1"/>
  <c r="Q124" i="1" s="1"/>
  <c r="P74" i="1"/>
  <c r="P124" i="1" s="1"/>
  <c r="F137" i="1" s="1"/>
  <c r="O74" i="1"/>
  <c r="O124" i="1" s="1"/>
  <c r="N74" i="1"/>
  <c r="N124" i="1" s="1"/>
  <c r="E137" i="1" s="1"/>
  <c r="J74" i="1"/>
  <c r="J124" i="1" s="1"/>
  <c r="S137" i="1" s="1"/>
  <c r="I74" i="1"/>
  <c r="I124" i="1" s="1"/>
  <c r="R137" i="1" s="1"/>
  <c r="H74" i="1"/>
  <c r="H124" i="1" s="1"/>
  <c r="G74" i="1"/>
  <c r="G124" i="1" s="1"/>
  <c r="D137" i="1" s="1"/>
  <c r="F74" i="1"/>
  <c r="F124" i="1" s="1"/>
  <c r="E74" i="1"/>
  <c r="E124" i="1" s="1"/>
  <c r="C137" i="1" s="1"/>
  <c r="D74" i="1"/>
  <c r="D124" i="1" s="1"/>
  <c r="C74" i="1"/>
  <c r="C124" i="1" s="1"/>
  <c r="B137" i="1" s="1"/>
  <c r="AQ60" i="1"/>
  <c r="AQ123" i="1" s="1"/>
  <c r="AB136" i="1" s="1"/>
  <c r="AP60" i="1"/>
  <c r="AP123" i="1" s="1"/>
  <c r="AA136" i="1" s="1"/>
  <c r="AO60" i="1"/>
  <c r="AO123" i="1" s="1"/>
  <c r="AN60" i="1"/>
  <c r="AN123" i="1" s="1"/>
  <c r="M136" i="1" s="1"/>
  <c r="AM60" i="1"/>
  <c r="AM123" i="1" s="1"/>
  <c r="AL60" i="1"/>
  <c r="AL123" i="1" s="1"/>
  <c r="L136" i="1" s="1"/>
  <c r="AK60" i="1"/>
  <c r="AK123" i="1" s="1"/>
  <c r="AJ60" i="1"/>
  <c r="AJ123" i="1" s="1"/>
  <c r="K136" i="1" s="1"/>
  <c r="AF60" i="1"/>
  <c r="AF123" i="1" s="1"/>
  <c r="Y136" i="1" s="1"/>
  <c r="AE60" i="1"/>
  <c r="AE123" i="1" s="1"/>
  <c r="X136" i="1" s="1"/>
  <c r="AD60" i="1"/>
  <c r="AD123" i="1" s="1"/>
  <c r="AC60" i="1"/>
  <c r="AC123" i="1" s="1"/>
  <c r="J136" i="1" s="1"/>
  <c r="AB60" i="1"/>
  <c r="AB123" i="1" s="1"/>
  <c r="AA60" i="1"/>
  <c r="AA123" i="1" s="1"/>
  <c r="I136" i="1" s="1"/>
  <c r="Z60" i="1"/>
  <c r="Z123" i="1" s="1"/>
  <c r="Y60" i="1"/>
  <c r="Y123" i="1" s="1"/>
  <c r="H136" i="1" s="1"/>
  <c r="U60" i="1"/>
  <c r="U123" i="1" s="1"/>
  <c r="V136" i="1" s="1"/>
  <c r="T60" i="1"/>
  <c r="T123" i="1" s="1"/>
  <c r="U136" i="1" s="1"/>
  <c r="S60" i="1"/>
  <c r="S123" i="1" s="1"/>
  <c r="R60" i="1"/>
  <c r="R123" i="1" s="1"/>
  <c r="G136" i="1" s="1"/>
  <c r="Q60" i="1"/>
  <c r="Q123" i="1" s="1"/>
  <c r="P60" i="1"/>
  <c r="P123" i="1" s="1"/>
  <c r="F136" i="1" s="1"/>
  <c r="O60" i="1"/>
  <c r="O123" i="1" s="1"/>
  <c r="N60" i="1"/>
  <c r="N123" i="1" s="1"/>
  <c r="E136" i="1" s="1"/>
  <c r="J60" i="1"/>
  <c r="J123" i="1" s="1"/>
  <c r="S136" i="1" s="1"/>
  <c r="I60" i="1"/>
  <c r="I123" i="1" s="1"/>
  <c r="R136" i="1" s="1"/>
  <c r="H60" i="1"/>
  <c r="H123" i="1" s="1"/>
  <c r="G60" i="1"/>
  <c r="G123" i="1" s="1"/>
  <c r="D136" i="1" s="1"/>
  <c r="F60" i="1"/>
  <c r="F123" i="1" s="1"/>
  <c r="E60" i="1"/>
  <c r="E123" i="1" s="1"/>
  <c r="C136" i="1" s="1"/>
  <c r="D60" i="1"/>
  <c r="D123" i="1" s="1"/>
  <c r="C60" i="1"/>
  <c r="C123" i="1" s="1"/>
  <c r="B136" i="1" s="1"/>
  <c r="AQ43" i="1"/>
  <c r="AQ122" i="1" s="1"/>
  <c r="AB135" i="1" s="1"/>
  <c r="AP43" i="1"/>
  <c r="AP122" i="1" s="1"/>
  <c r="AA135" i="1" s="1"/>
  <c r="AO43" i="1"/>
  <c r="AO122" i="1" s="1"/>
  <c r="AN43" i="1"/>
  <c r="AN122" i="1" s="1"/>
  <c r="M135" i="1" s="1"/>
  <c r="AM43" i="1"/>
  <c r="AM122" i="1" s="1"/>
  <c r="AL43" i="1"/>
  <c r="AL122" i="1" s="1"/>
  <c r="L135" i="1" s="1"/>
  <c r="AK43" i="1"/>
  <c r="AK122" i="1" s="1"/>
  <c r="AJ43" i="1"/>
  <c r="AJ122" i="1" s="1"/>
  <c r="K135" i="1" s="1"/>
  <c r="AF43" i="1"/>
  <c r="AF122" i="1" s="1"/>
  <c r="Y135" i="1" s="1"/>
  <c r="AE43" i="1"/>
  <c r="AE122" i="1" s="1"/>
  <c r="X135" i="1" s="1"/>
  <c r="AD43" i="1"/>
  <c r="AD122" i="1" s="1"/>
  <c r="AC43" i="1"/>
  <c r="AC122" i="1" s="1"/>
  <c r="J135" i="1" s="1"/>
  <c r="AB43" i="1"/>
  <c r="AB122" i="1" s="1"/>
  <c r="AA43" i="1"/>
  <c r="AA122" i="1" s="1"/>
  <c r="I135" i="1" s="1"/>
  <c r="Z43" i="1"/>
  <c r="Z122" i="1" s="1"/>
  <c r="Y43" i="1"/>
  <c r="Y122" i="1" s="1"/>
  <c r="H135" i="1" s="1"/>
  <c r="U43" i="1"/>
  <c r="U122" i="1" s="1"/>
  <c r="V135" i="1" s="1"/>
  <c r="T43" i="1"/>
  <c r="T122" i="1" s="1"/>
  <c r="U135" i="1" s="1"/>
  <c r="S43" i="1"/>
  <c r="S122" i="1" s="1"/>
  <c r="R43" i="1"/>
  <c r="R122" i="1" s="1"/>
  <c r="G135" i="1" s="1"/>
  <c r="Q43" i="1"/>
  <c r="Q122" i="1" s="1"/>
  <c r="P43" i="1"/>
  <c r="P122" i="1" s="1"/>
  <c r="F135" i="1" s="1"/>
  <c r="O43" i="1"/>
  <c r="O122" i="1" s="1"/>
  <c r="N43" i="1"/>
  <c r="N122" i="1" s="1"/>
  <c r="E135" i="1" s="1"/>
  <c r="J43" i="1"/>
  <c r="J122" i="1" s="1"/>
  <c r="S135" i="1" s="1"/>
  <c r="I43" i="1"/>
  <c r="I122" i="1" s="1"/>
  <c r="R135" i="1" s="1"/>
  <c r="H43" i="1"/>
  <c r="H122" i="1" s="1"/>
  <c r="G43" i="1"/>
  <c r="G122" i="1" s="1"/>
  <c r="D135" i="1" s="1"/>
  <c r="F43" i="1"/>
  <c r="F122" i="1" s="1"/>
  <c r="E43" i="1"/>
  <c r="E122" i="1" s="1"/>
  <c r="C135" i="1" s="1"/>
  <c r="D43" i="1"/>
  <c r="D122" i="1" s="1"/>
  <c r="C43" i="1"/>
  <c r="C122" i="1" s="1"/>
  <c r="B135" i="1" s="1"/>
  <c r="AQ29" i="1"/>
  <c r="AQ121" i="1" s="1"/>
  <c r="AB134" i="1" s="1"/>
  <c r="AP29" i="1"/>
  <c r="AP121" i="1" s="1"/>
  <c r="AA134" i="1" s="1"/>
  <c r="AO29" i="1"/>
  <c r="AO121" i="1" s="1"/>
  <c r="AN29" i="1"/>
  <c r="AN121" i="1" s="1"/>
  <c r="M134" i="1" s="1"/>
  <c r="AM29" i="1"/>
  <c r="AM121" i="1" s="1"/>
  <c r="AL29" i="1"/>
  <c r="AL121" i="1" s="1"/>
  <c r="L134" i="1" s="1"/>
  <c r="AK29" i="1"/>
  <c r="AK121" i="1" s="1"/>
  <c r="AJ29" i="1"/>
  <c r="AJ121" i="1" s="1"/>
  <c r="K134" i="1" s="1"/>
  <c r="AF29" i="1"/>
  <c r="AF121" i="1" s="1"/>
  <c r="Y134" i="1" s="1"/>
  <c r="AE29" i="1"/>
  <c r="AE121" i="1" s="1"/>
  <c r="X134" i="1" s="1"/>
  <c r="AD29" i="1"/>
  <c r="AD121" i="1" s="1"/>
  <c r="AC29" i="1"/>
  <c r="AC121" i="1" s="1"/>
  <c r="J134" i="1" s="1"/>
  <c r="AB29" i="1"/>
  <c r="AB121" i="1" s="1"/>
  <c r="AA29" i="1"/>
  <c r="AA121" i="1" s="1"/>
  <c r="I134" i="1" s="1"/>
  <c r="Z29" i="1"/>
  <c r="Z121" i="1" s="1"/>
  <c r="Y29" i="1"/>
  <c r="Y121" i="1" s="1"/>
  <c r="H134" i="1" s="1"/>
  <c r="U29" i="1"/>
  <c r="U121" i="1" s="1"/>
  <c r="V134" i="1" s="1"/>
  <c r="T29" i="1"/>
  <c r="T121" i="1" s="1"/>
  <c r="U134" i="1" s="1"/>
  <c r="S29" i="1"/>
  <c r="S121" i="1" s="1"/>
  <c r="R29" i="1"/>
  <c r="R121" i="1" s="1"/>
  <c r="G134" i="1" s="1"/>
  <c r="Q29" i="1"/>
  <c r="Q121" i="1" s="1"/>
  <c r="P29" i="1"/>
  <c r="P121" i="1" s="1"/>
  <c r="F134" i="1" s="1"/>
  <c r="O29" i="1"/>
  <c r="O121" i="1" s="1"/>
  <c r="N29" i="1"/>
  <c r="N121" i="1" s="1"/>
  <c r="E134" i="1" s="1"/>
  <c r="J29" i="1"/>
  <c r="J121" i="1" s="1"/>
  <c r="S134" i="1" s="1"/>
  <c r="I29" i="1"/>
  <c r="I121" i="1" s="1"/>
  <c r="R134" i="1" s="1"/>
  <c r="H29" i="1"/>
  <c r="H121" i="1" s="1"/>
  <c r="G29" i="1"/>
  <c r="G121" i="1" s="1"/>
  <c r="D134" i="1" s="1"/>
  <c r="F29" i="1"/>
  <c r="F121" i="1" s="1"/>
  <c r="E29" i="1"/>
  <c r="E121" i="1" s="1"/>
  <c r="C134" i="1" s="1"/>
  <c r="D29" i="1"/>
  <c r="D121" i="1" s="1"/>
  <c r="C29" i="1"/>
  <c r="C121" i="1" s="1"/>
  <c r="B134" i="1" s="1"/>
  <c r="AK13" i="1"/>
  <c r="AK120" i="1" s="1"/>
  <c r="AL13" i="1"/>
  <c r="AL120" i="1" s="1"/>
  <c r="L133" i="1" s="1"/>
  <c r="AM13" i="1"/>
  <c r="AM120" i="1" s="1"/>
  <c r="AN13" i="1"/>
  <c r="AN120" i="1" s="1"/>
  <c r="M133" i="1" s="1"/>
  <c r="AO13" i="1"/>
  <c r="AO120" i="1" s="1"/>
  <c r="AP13" i="1"/>
  <c r="AP120" i="1" s="1"/>
  <c r="AA133" i="1" s="1"/>
  <c r="AQ13" i="1"/>
  <c r="AQ120" i="1" s="1"/>
  <c r="AB133" i="1" s="1"/>
  <c r="AJ13" i="1"/>
  <c r="AJ120" i="1" s="1"/>
  <c r="K133" i="1" s="1"/>
  <c r="Z13" i="1"/>
  <c r="Z120" i="1" s="1"/>
  <c r="AA13" i="1"/>
  <c r="AA120" i="1" s="1"/>
  <c r="I133" i="1" s="1"/>
  <c r="AB13" i="1"/>
  <c r="AB120" i="1" s="1"/>
  <c r="AC13" i="1"/>
  <c r="AC120" i="1" s="1"/>
  <c r="J133" i="1" s="1"/>
  <c r="AD13" i="1"/>
  <c r="AD120" i="1" s="1"/>
  <c r="AE13" i="1"/>
  <c r="AE120" i="1" s="1"/>
  <c r="X133" i="1" s="1"/>
  <c r="AF13" i="1"/>
  <c r="AF120" i="1" s="1"/>
  <c r="Y133" i="1" s="1"/>
  <c r="Y13" i="1"/>
  <c r="Y120" i="1" s="1"/>
  <c r="H133" i="1" s="1"/>
  <c r="O13" i="1"/>
  <c r="O120" i="1" s="1"/>
  <c r="P13" i="1"/>
  <c r="P120" i="1" s="1"/>
  <c r="F133" i="1" s="1"/>
  <c r="Q13" i="1"/>
  <c r="Q120" i="1" s="1"/>
  <c r="R13" i="1"/>
  <c r="R120" i="1" s="1"/>
  <c r="G133" i="1" s="1"/>
  <c r="S13" i="1"/>
  <c r="S120" i="1" s="1"/>
  <c r="T13" i="1"/>
  <c r="T120" i="1" s="1"/>
  <c r="U133" i="1" s="1"/>
  <c r="U13" i="1"/>
  <c r="U120" i="1" s="1"/>
  <c r="V133" i="1" s="1"/>
  <c r="N13" i="1"/>
  <c r="N120" i="1" s="1"/>
  <c r="E133" i="1" s="1"/>
  <c r="D13" i="1"/>
  <c r="D120" i="1" s="1"/>
  <c r="E13" i="1"/>
  <c r="E120" i="1" s="1"/>
  <c r="C133" i="1" s="1"/>
  <c r="F13" i="1"/>
  <c r="F120" i="1" s="1"/>
  <c r="G13" i="1"/>
  <c r="G120" i="1" s="1"/>
  <c r="D133" i="1" s="1"/>
  <c r="H13" i="1"/>
  <c r="H120" i="1" s="1"/>
  <c r="I13" i="1"/>
  <c r="I120" i="1" s="1"/>
  <c r="R133" i="1" s="1"/>
  <c r="J13" i="1"/>
  <c r="J120" i="1" s="1"/>
  <c r="S133" i="1" s="1"/>
  <c r="C13" i="1"/>
  <c r="C120" i="1" s="1"/>
  <c r="B133" i="1" s="1"/>
  <c r="AC138" i="1" l="1"/>
  <c r="Z138" i="1"/>
  <c r="W138" i="1"/>
  <c r="T138" i="1"/>
  <c r="AB138" i="1"/>
  <c r="AA138" i="1"/>
  <c r="M138" i="1"/>
  <c r="L138" i="1"/>
  <c r="K138" i="1"/>
  <c r="Y138" i="1"/>
  <c r="X138" i="1"/>
  <c r="J138" i="1"/>
  <c r="I138" i="1"/>
  <c r="H138" i="1"/>
  <c r="V138" i="1"/>
  <c r="U138" i="1"/>
  <c r="G138" i="1"/>
  <c r="F138" i="1"/>
  <c r="E138" i="1"/>
  <c r="S138" i="1"/>
  <c r="R138" i="1"/>
  <c r="D138" i="1"/>
  <c r="C138" i="1"/>
  <c r="B13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<sst xmlns="http://schemas.openxmlformats.org/spreadsheetml/2006/main" count="298" uniqueCount="55">
  <si>
    <t>twtarn=1</t>
  </si>
  <si>
    <t>tanlen=2</t>
  </si>
  <si>
    <t>CARLIN all</t>
  </si>
  <si>
    <t>CARLIN div</t>
  </si>
  <si>
    <t>TW all</t>
  </si>
  <si>
    <t>TW div</t>
  </si>
  <si>
    <t>Both Alg all</t>
  </si>
  <si>
    <t>Both alg div</t>
  </si>
  <si>
    <t>CARLIN triplet</t>
  </si>
  <si>
    <t>TW triplet</t>
  </si>
  <si>
    <t>tanlen=3</t>
  </si>
  <si>
    <t>tanlen=4</t>
  </si>
  <si>
    <t>tanlen=5</t>
  </si>
  <si>
    <t>twtarn=3</t>
  </si>
  <si>
    <t>twtarn=5</t>
  </si>
  <si>
    <t>twtarn=7</t>
  </si>
  <si>
    <t>twtarn=9</t>
  </si>
  <si>
    <t>twtarn=11</t>
  </si>
  <si>
    <t>twtarn=13</t>
  </si>
  <si>
    <t>twtarn=15</t>
  </si>
  <si>
    <t>avg</t>
  </si>
  <si>
    <t>summary</t>
  </si>
  <si>
    <t>twtarn</t>
  </si>
  <si>
    <t>CARLIN</t>
  </si>
  <si>
    <t>all nodes</t>
  </si>
  <si>
    <t>both triplet</t>
  </si>
  <si>
    <t>RF accuracy</t>
  </si>
  <si>
    <t>Target Length</t>
  </si>
  <si>
    <t>Target Number</t>
  </si>
  <si>
    <t>Typewriter</t>
  </si>
  <si>
    <t>Dual</t>
  </si>
  <si>
    <t>Triplet accuracy</t>
  </si>
  <si>
    <t>var</t>
  </si>
  <si>
    <t>std</t>
  </si>
  <si>
    <t>Carlin RF</t>
  </si>
  <si>
    <t>Carlin Triplet</t>
  </si>
  <si>
    <t>rf</t>
  </si>
  <si>
    <t>triplet</t>
  </si>
  <si>
    <t>max</t>
  </si>
  <si>
    <t>min</t>
  </si>
  <si>
    <t>stdev</t>
  </si>
  <si>
    <t>mean+-stdev</t>
  </si>
  <si>
    <t>RF</t>
  </si>
  <si>
    <t>mean</t>
  </si>
  <si>
    <t>target number</t>
  </si>
  <si>
    <t>mean+std</t>
  </si>
  <si>
    <t>mean-std</t>
  </si>
  <si>
    <t>For box plot</t>
  </si>
  <si>
    <t>Target L=2</t>
  </si>
  <si>
    <t>TW</t>
  </si>
  <si>
    <t xml:space="preserve">Target N </t>
  </si>
  <si>
    <t>Target L=3</t>
  </si>
  <si>
    <t>Target L=4</t>
  </si>
  <si>
    <t>Target L=5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</si>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</sst>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Sheet1!$C$144:$J$144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cat>
          <c:val>
            <c:numRef>
              <c:f>Sheet1!$C$145:$J$145</c:f>
              <c:numCache>
                <c:formatCode>General</c:formatCode>
                <c:ptCount val="8"/>
                <c:pt idx="0">
                  <c:v>14.333333333333343</c:v>
                </c:pt>
                <c:pt idx="1">
                  <c:v>47</c:v>
                </c:pt>
                <c:pt idx="2">
                  <c:v>65.666666666666657</c:v>
                </c:pt>
                <c:pt idx="3">
                  <c:v>76.333333333333329</c:v>
                </c:pt>
                <c:pt idx="4">
                  <c:v>81.666666666666671</c:v>
                </c:pt>
                <c:pt idx="5">
                  <c:v>92.666666666666671</c:v>
                </c:pt>
                <c:pt idx="6">
                  <c:v>94</c:v>
                </c:pt>
                <c:pt idx="7">
                  <c:v>94.3333333333333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4392-A78B-DDC8FC6D04FD}"/>
            </c:ext>
          </c:extLst>
        </c:ser>
        <c:ser>
          <c:idx val="1"/>
          <c:order val="1"/>
          <c:tx>
            <c:v>Mean+Stdev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Sheet1!$C$147:$J$147</c:f>
              <c:numCache>
                <c:formatCode>General</c:formatCode>
                <c:ptCount val="8"/>
                <c:pt idx="0">
                  <c:v>22.947132197028594</c:v>
                </c:pt>
                <c:pt idx="1">
                  <c:v>64.45894655512798</c:v>
                </c:pt>
                <c:pt idx="2">
                  <c:v>90.761548344406279</c:v>
                </c:pt>
                <c:pt idx="3">
                  <c:v>92.922039888854343</c:v>
                </c:pt>
                <c:pt idx="4">
                  <c:v>94.064396446900759</c:v>
                </c:pt>
                <c:pt idx="5">
                  <c:v>100.64812666491909</c:v>
                </c:pt>
                <c:pt idx="6">
                  <c:v>99.837300238472736</c:v>
                </c:pt>
                <c:pt idx="7">
                  <c:v>101.36939564399444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2-4392-A78B-DDC8FC6D04FD}"/>
            </c:ext>
          </c:extLst>
        </c:ser>
        <c:ser>
          <c:idx val="2"/>
          <c:order val="2"/>
          <c:tx>
            <c:v>Mean-Stdev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Sheet1!$C$148:$J$148</c:f>
              <c:numCache>
                <c:formatCode>General</c:formatCode>
                <c:ptCount val="8"/>
                <c:pt idx="0">
                  <c:v>5.7195344696380932</c:v>
                </c:pt>
                <c:pt idx="1">
                  <c:v>29.541053444872023</c:v>
                </c:pt>
                <c:pt idx="2">
                  <c:v>40.571784988927035</c:v>
                </c:pt>
                <c:pt idx="3">
                  <c:v>59.744626777812314</c:v>
                </c:pt>
                <c:pt idx="4">
                  <c:v>69.268936886432584</c:v>
                </c:pt>
                <c:pt idx="5">
                  <c:v>84.685206668414253</c:v>
                </c:pt>
                <c:pt idx="6">
                  <c:v>88.162699761527264</c:v>
                </c:pt>
                <c:pt idx="7">
                  <c:v>87.297271022672163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2-4392-A78B-DDC8FC6D0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45967"/>
        <c:axId val="574756527"/>
      </c:lineChart>
      <c:catAx>
        <c:axId val="57474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56527"/>
        <c:crosses val="autoZero"/>
        <c:auto val="1"/>
        <c:lblAlgn val="ctr"/>
        <c:lblOffset val="100"/>
        <c:noMultiLvlLbl val="0"/>
      </c:catAx>
      <c:valAx>
        <c:axId val="5747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Sheet1!$C$144:$J$144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</c:numCache>
            </c:numRef>
          </c:cat>
          <c:val>
            <c:numRef>
              <c:f>Sheet1!$P$145:$W$145</c:f>
              <c:numCache>
                <c:formatCode>General</c:formatCode>
                <c:ptCount val="8"/>
                <c:pt idx="0">
                  <c:v>55.79032258064516</c:v>
                </c:pt>
                <c:pt idx="1">
                  <c:v>69.834677419354833</c:v>
                </c:pt>
                <c:pt idx="2">
                  <c:v>78.451612903225794</c:v>
                </c:pt>
                <c:pt idx="3">
                  <c:v>89.336693548387075</c:v>
                </c:pt>
                <c:pt idx="4">
                  <c:v>87.679435483870975</c:v>
                </c:pt>
                <c:pt idx="5">
                  <c:v>98.620967741935473</c:v>
                </c:pt>
                <c:pt idx="6">
                  <c:v>99.370967741935502</c:v>
                </c:pt>
                <c:pt idx="7">
                  <c:v>99.258064516129053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D-48F5-90C6-A4F7E5172950}"/>
            </c:ext>
          </c:extLst>
        </c:ser>
        <c:ser>
          <c:idx val="1"/>
          <c:order val="1"/>
          <c:tx>
            <c:v>Mean+Stdev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Sheet1!$P$147:$W$147</c:f>
              <c:numCache>
                <c:formatCode>General</c:formatCode>
                <c:ptCount val="8"/>
                <c:pt idx="0">
                  <c:v>77.50211713182577</c:v>
                </c:pt>
                <c:pt idx="1">
                  <c:v>91.343556082417479</c:v>
                </c:pt>
                <c:pt idx="2">
                  <c:v>100.74679105741518</c:v>
                </c:pt>
                <c:pt idx="3">
                  <c:v>110.30806344836859</c:v>
                </c:pt>
                <c:pt idx="4">
                  <c:v>105.19778690780959</c:v>
                </c:pt>
                <c:pt idx="5">
                  <c:v>100.9973635230109</c:v>
                </c:pt>
                <c:pt idx="6">
                  <c:v>100.97839572465222</c:v>
                </c:pt>
                <c:pt idx="7">
                  <c:v>101.273584137288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D-48F5-90C6-A4F7E5172950}"/>
            </c:ext>
          </c:extLst>
        </c:ser>
        <c:ser>
          <c:idx val="2"/>
          <c:order val="2"/>
          <c:tx>
            <c:v>Mean-Stdev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Sheet1!$P$148:$W$148</c:f>
              <c:numCache>
                <c:formatCode>General</c:formatCode>
                <c:ptCount val="8"/>
                <c:pt idx="0">
                  <c:v>34.078528029464557</c:v>
                </c:pt>
                <c:pt idx="1">
                  <c:v>48.325798756292187</c:v>
                </c:pt>
                <c:pt idx="2">
                  <c:v>56.156434749036407</c:v>
                </c:pt>
                <c:pt idx="3">
                  <c:v>68.365323648405564</c:v>
                </c:pt>
                <c:pt idx="4">
                  <c:v>70.161084059932364</c:v>
                </c:pt>
                <c:pt idx="5">
                  <c:v>96.244571960860043</c:v>
                </c:pt>
                <c:pt idx="6">
                  <c:v>97.763539759218787</c:v>
                </c:pt>
                <c:pt idx="7">
                  <c:v>97.242544894970109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D-48F5-90C6-A4F7E5172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45967"/>
        <c:axId val="574756527"/>
      </c:lineChart>
      <c:catAx>
        <c:axId val="57474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56527"/>
        <c:crosses val="autoZero"/>
        <c:auto val="1"/>
        <c:lblAlgn val="ctr"/>
        <c:lblOffset val="100"/>
        <c:noMultiLvlLbl val="0"/>
      </c:catAx>
      <c:valAx>
        <c:axId val="5747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_xlchart.v1.80</cx:f>
      </cx:numDim>
    </cx:data>
    <cx:data id="1">
      <cx:numDim type="val">
        <cx:f>_xlchart.v1.81</cx:f>
      </cx:numDim>
    </cx:data>
    <cx:data id="2">
      <cx:numDim type="val">
        <cx:f>_xlchart.v1.82</cx:f>
      </cx:numDim>
    </cx:data>
    <cx:data id="3">
      <cx:numDim type="val">
        <cx:f>_xlchart.v1.83</cx:f>
      </cx:numDim>
    </cx:data>
    <cx:data id="4">
      <cx:numDim type="val">
        <cx:f>_xlchart.v1.84</cx:f>
      </cx:numDim>
    </cx:data>
    <cx:data id="5">
      <cx:numDim type="val">
        <cx:f>_xlchart.v1.85</cx:f>
      </cx:numDim>
    </cx:data>
    <cx:data id="6">
      <cx:numDim type="val">
        <cx:f>_xlchart.v1.86</cx:f>
      </cx:numDim>
    </cx:data>
    <cx:data id="7">
      <cx:numDim type="val">
        <cx:f>_xlchart.v1.87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>
          <cx:tx>
            <cx:txData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2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2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_xlchart.v1.96</cx:f>
      </cx:numDim>
    </cx:data>
    <cx:data id="1">
      <cx:numDim type="val">
        <cx:f>_xlchart.v1.97</cx:f>
      </cx:numDim>
    </cx:data>
    <cx:data id="2">
      <cx:numDim type="val">
        <cx:f>_xlchart.v1.98</cx:f>
      </cx:numDim>
    </cx:data>
    <cx:data id="3">
      <cx:numDim type="val">
        <cx:f>_xlchart.v1.99</cx:f>
      </cx:numDim>
    </cx:data>
    <cx:data id="4">
      <cx:numDim type="val">
        <cx:f>_xlchart.v1.100</cx:f>
      </cx:numDim>
    </cx:data>
    <cx:data id="5">
      <cx:numDim type="val">
        <cx:f>_xlchart.v1.101</cx:f>
      </cx:numDim>
    </cx:data>
    <cx:data id="6">
      <cx:numDim type="val">
        <cx:f>_xlchart.v1.102</cx:f>
      </cx:numDim>
    </cx:data>
    <cx:data id="7">
      <cx:numDim type="val">
        <cx:f>_xlchart.v1.103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3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3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_xlchart.v1.70</cx:f>
      </cx:numDim>
    </cx:data>
    <cx:data id="2">
      <cx:numDim type="val">
        <cx:f>_xlchart.v1.71</cx:f>
      </cx:numDim>
    </cx:data>
    <cx:data id="3">
      <cx:numDim type="val">
        <cx:f>_xlchart.v1.56</cx:f>
      </cx:numDim>
    </cx:data>
    <cx:data id="4">
      <cx:numDim type="val">
        <cx:f>_xlchart.v1.57</cx:f>
      </cx:numDim>
    </cx:data>
    <cx:data id="5">
      <cx:numDim type="val">
        <cx:f>_xlchart.v1.58</cx:f>
      </cx:numDim>
    </cx:data>
    <cx:data id="6">
      <cx:numDim type="val">
        <cx:f>_xlchart.v1.59</cx:f>
      </cx:numDim>
    </cx:data>
    <cx:data id="7">
      <cx:numDim type="val">
        <cx:f>_xlchart.v1.60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4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4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_xlchart.v1.141</cx:f>
      </cx:numDim>
    </cx:data>
    <cx:data id="1">
      <cx:numDim type="val">
        <cx:f>_xlchart.v1.142</cx:f>
      </cx:numDim>
    </cx:data>
    <cx:data id="2">
      <cx:numDim type="val">
        <cx:f>_xlchart.v1.143</cx:f>
      </cx:numDim>
    </cx:data>
    <cx:data id="3">
      <cx:numDim type="val">
        <cx:f>_xlchart.v1.144</cx:f>
      </cx:numDim>
    </cx:data>
    <cx:data id="4">
      <cx:numDim type="val">
        <cx:f>_xlchart.v1.145</cx:f>
      </cx:numDim>
    </cx:data>
    <cx:data id="5">
      <cx:numDim type="val">
        <cx:f>_xlchart.v1.146</cx:f>
      </cx:numDim>
    </cx:data>
    <cx:data id="6">
      <cx:numDim type="val">
        <cx:f>_xlchart.v1.147</cx:f>
      </cx:numDim>
    </cx:data>
    <cx:data id="7">
      <cx:numDim type="val">
        <cx:f>_xlchart.v1.148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5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5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_xlchart.v1.105</cx:f>
      </cx:numDim>
    </cx:data>
    <cx:data id="1">
      <cx:numDim type="val">
        <cx:f>_xlchart.v1.107</cx:f>
      </cx:numDim>
    </cx:data>
    <cx:data id="2">
      <cx:numDim type="val">
        <cx:f>_xlchart.v1.109</cx:f>
      </cx:numDim>
    </cx:data>
    <cx:data id="3">
      <cx:numDim type="val">
        <cx:f>_xlchart.v1.111</cx:f>
      </cx:numDim>
    </cx:data>
    <cx:data id="4">
      <cx:numDim type="val">
        <cx:f>_xlchart.v1.113</cx:f>
      </cx:numDim>
    </cx:data>
    <cx:data id="5">
      <cx:numDim type="val">
        <cx:f>_xlchart.v1.115</cx:f>
      </cx:numDim>
    </cx:data>
    <cx:data id="6">
      <cx:numDim type="val">
        <cx:f>_xlchart.v1.117</cx:f>
      </cx:numDim>
    </cx:data>
    <cx:data id="7">
      <cx:numDim type="val">
        <cx:f>_xlchart.v1.119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2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2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  <cx:data id="1">
      <cx:numDim type="val">
        <cx:f>_xlchart.v1.33</cx:f>
      </cx:numDim>
    </cx:data>
    <cx:data id="2">
      <cx:numDim type="val">
        <cx:f>_xlchart.v1.34</cx:f>
      </cx:numDim>
    </cx:data>
    <cx:data id="3">
      <cx:numDim type="val">
        <cx:f>_xlchart.v1.35</cx:f>
      </cx:numDim>
    </cx:data>
    <cx:data id="4">
      <cx:numDim type="val">
        <cx:f>_xlchart.v1.36</cx:f>
      </cx:numDim>
    </cx:data>
    <cx:data id="5">
      <cx:numDim type="val">
        <cx:f>_xlchart.v1.37</cx:f>
      </cx:numDim>
    </cx:data>
    <cx:data id="6">
      <cx:numDim type="val">
        <cx:f>_xlchart.v1.38</cx:f>
      </cx:numDim>
    </cx:data>
    <cx:data id="7">
      <cx:numDim type="val">
        <cx:f>_xlchart.v1.39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3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3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_xlchart.v1.133</cx:f>
      </cx:numDim>
    </cx:data>
    <cx:data id="1">
      <cx:numDim type="val">
        <cx:f>_xlchart.v1.134</cx:f>
      </cx:numDim>
    </cx:data>
    <cx:data id="2">
      <cx:numDim type="val">
        <cx:f>_xlchart.v1.135</cx:f>
      </cx:numDim>
    </cx:data>
    <cx:data id="3">
      <cx:numDim type="val">
        <cx:f>_xlchart.v1.120</cx:f>
      </cx:numDim>
    </cx:data>
    <cx:data id="4">
      <cx:numDim type="val">
        <cx:f>_xlchart.v1.121</cx:f>
      </cx:numDim>
    </cx:data>
    <cx:data id="5">
      <cx:numDim type="val">
        <cx:f>_xlchart.v1.122</cx:f>
      </cx:numDim>
    </cx:data>
    <cx:data id="6">
      <cx:numDim type="val">
        <cx:f>_xlchart.v1.123</cx:f>
      </cx:numDim>
    </cx:data>
    <cx:data id="7">
      <cx:numDim type="val">
        <cx:f>_xlchart.v1.124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4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4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_xlchart.v1.157</cx:f>
      </cx:numDim>
    </cx:data>
    <cx:data id="1">
      <cx:numDim type="val">
        <cx:f>_xlchart.v1.158</cx:f>
      </cx:numDim>
    </cx:data>
    <cx:data id="2">
      <cx:numDim type="val">
        <cx:f>_xlchart.v1.159</cx:f>
      </cx:numDim>
    </cx:data>
    <cx:data id="3">
      <cx:numDim type="val">
        <cx:f>_xlchart.v1.160</cx:f>
      </cx:numDim>
    </cx:data>
    <cx:data id="4">
      <cx:numDim type="val">
        <cx:f>_xlchart.v1.161</cx:f>
      </cx:numDim>
    </cx:data>
    <cx:data id="5">
      <cx:numDim type="val">
        <cx:f>_xlchart.v1.163</cx:f>
      </cx:numDim>
    </cx:data>
    <cx:data id="6">
      <cx:numDim type="val">
        <cx:f>_xlchart.v1.164</cx:f>
      </cx:numDim>
    </cx:data>
    <cx:data id="7">
      <cx:numDim type="val">
        <cx:f>_xlchart.v1.165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>
          <cx:tx>
            <cx:txData>
              <cx:f/>
              <cx:v>Target Number = 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>
          <cx:tx>
            <cx:txData>
              <cx:f/>
              <cx:v>Target Number = 3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>
          <cx:tx>
            <cx:txData>
              <cx:f/>
              <cx:v>Target Number = 5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>
          <cx:tx>
            <cx:txData>
              <cx:f/>
              <cx:v>Target Number = 7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>
          <cx:tx>
            <cx:txData>
              <cx:f/>
              <cx:v>Target Number = 9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>
          <cx:tx>
            <cx:txData>
              <cx:f/>
              <cx:v>Target Number = 11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28475E7-DF6A-4EF9-813B-56A3322EC7DC}">
          <cx:tx>
            <cx:txData>
              <cx:f/>
              <cx:v>Target Number = 13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C45D937-64F2-42B6-A138-35219CDEEB4D}">
          <cx:tx>
            <cx:txData>
              <cx:f/>
              <cx:v>Target Number = 15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5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5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_xlchart.v1.169</cx:f>
      </cx:numDim>
    </cx:data>
  </cx:chartData>
  <cx:chart>
    <cx:title pos="t" align="ctr" overlay="0">
      <cx:tx>
        <cx:txData>
          <cx:v>CARLIN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CARLIN RF Accuracy</a:t>
          </a:r>
        </a:p>
      </cx:txPr>
    </cx:title>
    <cx:plotArea>
      <cx:plotAreaRegion>
        <cx:series layoutId="clusteredColumn" uniqueId="{1D8CF7CC-D855-4E93-8C05-578DB7B48501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spPr>
          <a:ln>
            <a:solidFill>
              <a:schemeClr val="accent1">
                <a:alpha val="91000"/>
              </a:schemeClr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 w="6350"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 w="6350">
                <a:solidFill>
                  <a:schemeClr val="tx1"/>
                </a:solidFill>
              </a:ln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endParaRPr>
          </a:p>
        </cx:txPr>
      </cx:axis>
      <cx:axis id="1">
        <cx:valScaling max="10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_xlchart.v1.170</cx:f>
      </cx:numDim>
    </cx:data>
  </cx:chartData>
  <cx:chart>
    <cx:title pos="t" align="ctr" overlay="0">
      <cx:tx>
        <cx:txData>
          <cx:v>CARLIN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CARLIN Triplet Accuracy</a:t>
          </a:r>
        </a:p>
      </cx:txPr>
    </cx:title>
    <cx:plotArea>
      <cx:plotAreaRegion>
        <cx:series layoutId="clusteredColumn" uniqueId="{6C5AD9DE-E33F-4AA6-B5C4-DEF1B0203AB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 w="6350"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 w="6350">
                <a:solidFill>
                  <a:schemeClr val="tx1"/>
                </a:solidFill>
              </a:ln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endParaRPr>
          </a:p>
        </cx:txPr>
      </cx:axis>
      <cx:axis id="1">
        <cx:valScaling max="100"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6.xml"/><Relationship Id="rId3" Type="http://schemas.microsoft.com/office/2014/relationships/chartEx" Target="../charts/chartEx1.xml"/><Relationship Id="rId7" Type="http://schemas.microsoft.com/office/2014/relationships/chartEx" Target="../charts/chartEx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10" Type="http://schemas.microsoft.com/office/2014/relationships/chartEx" Target="../charts/chartEx8.xml"/><Relationship Id="rId4" Type="http://schemas.microsoft.com/office/2014/relationships/chartEx" Target="../charts/chartEx2.xml"/><Relationship Id="rId9" Type="http://schemas.microsoft.com/office/2014/relationships/chartEx" Target="../charts/chartEx7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0.xml"/><Relationship Id="rId1" Type="http://schemas.microsoft.com/office/2014/relationships/chartEx" Target="../charts/chartEx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611981</xdr:colOff>
      <xdr:row>149</xdr:row>
      <xdr:rowOff>19050</xdr:rowOff>
    </xdr:from>
    <xdr:to>
      <xdr:col>9</xdr:col>
      <xdr:colOff>2381</xdr:colOff>
      <xdr:row>164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25651-2D4A-CE5B-7180-2D0BBD929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149</xdr:row>
      <xdr:rowOff>0</xdr:rowOff>
    </xdr:from>
    <xdr:to>
      <xdr:col>19</xdr:col>
      <xdr:colOff>304800</xdr:colOff>
      <xdr:row>164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59C40-F52B-438F-B1C6-F7B1921E6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54768</xdr:colOff>
      <xdr:row>181</xdr:row>
      <xdr:rowOff>0</xdr:rowOff>
    </xdr:from>
    <xdr:to>
      <xdr:col>8</xdr:col>
      <xdr:colOff>92868</xdr:colOff>
      <xdr:row>196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A8369AE-81DF-1F3C-4999-BD0F288812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468" y="32775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181</xdr:row>
      <xdr:rowOff>0</xdr:rowOff>
    </xdr:from>
    <xdr:to>
      <xdr:col>17</xdr:col>
      <xdr:colOff>304800</xdr:colOff>
      <xdr:row>196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463F82E-BBF2-4AA4-A513-DB6F56ECC9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700" y="32775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0</xdr:colOff>
      <xdr:row>181</xdr:row>
      <xdr:rowOff>0</xdr:rowOff>
    </xdr:from>
    <xdr:to>
      <xdr:col>28</xdr:col>
      <xdr:colOff>38100</xdr:colOff>
      <xdr:row>196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9521DA9-A061-484B-81A1-11F16059A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63700" y="32775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32</xdr:col>
      <xdr:colOff>0</xdr:colOff>
      <xdr:row>181</xdr:row>
      <xdr:rowOff>0</xdr:rowOff>
    </xdr:from>
    <xdr:to>
      <xdr:col>39</xdr:col>
      <xdr:colOff>38100</xdr:colOff>
      <xdr:row>196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CDDDE5E-7EC5-4BF6-906E-EC27D41B0D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88400" y="327755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23812</xdr:colOff>
      <xdr:row>213</xdr:row>
      <xdr:rowOff>0</xdr:rowOff>
    </xdr:from>
    <xdr:to>
      <xdr:col>8</xdr:col>
      <xdr:colOff>61912</xdr:colOff>
      <xdr:row>228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DCF005D6-ED5D-42E2-927B-ADB155CC28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" y="38566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619125</xdr:colOff>
      <xdr:row>212</xdr:row>
      <xdr:rowOff>76200</xdr:rowOff>
    </xdr:from>
    <xdr:to>
      <xdr:col>18</xdr:col>
      <xdr:colOff>276225</xdr:colOff>
      <xdr:row>227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E17D181F-CE76-46D6-BD8F-46B3F65925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4825" y="38461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213</xdr:row>
      <xdr:rowOff>0</xdr:rowOff>
    </xdr:from>
    <xdr:to>
      <xdr:col>30</xdr:col>
      <xdr:colOff>38100</xdr:colOff>
      <xdr:row>228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C01748E4-340A-48CA-B897-A3E987A0A4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59100" y="38566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0</xdr:colOff>
      <xdr:row>213</xdr:row>
      <xdr:rowOff>0</xdr:rowOff>
    </xdr:from>
    <xdr:to>
      <xdr:col>41</xdr:col>
      <xdr:colOff>38100</xdr:colOff>
      <xdr:row>228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4723359-E04F-4BB4-965E-238805F25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83800" y="38566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12</xdr:row>
      <xdr:rowOff>57150</xdr:rowOff>
    </xdr:from>
    <xdr:to>
      <xdr:col>10</xdr:col>
      <xdr:colOff>19050</xdr:colOff>
      <xdr:row>27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6349F6D-F4E0-4AE8-9075-E92475AA90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4050" y="2228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378618</xdr:colOff>
      <xdr:row>12</xdr:row>
      <xdr:rowOff>80962</xdr:rowOff>
    </xdr:from>
    <xdr:to>
      <xdr:col>17</xdr:col>
      <xdr:colOff>416718</xdr:colOff>
      <xdr:row>27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57F04AB-4D7C-5560-7463-B66C561ED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5618" y="22526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081-F6CD-4835-9B19-1B37506E28E4}">
  <dimension ref="A2:AR211"/>
  <sheetViews>
    <sheetView tabSelected="1" topLeftCell="V201" workbookViewId="0">
      <selection activeCell="AP223" sqref="AP223"/>
    </sheetView>
  </sheetViews>
  <sheetFormatPr defaultRowHeight="14.25" x14ac:dyDescent="0.45"/>
  <cols>
    <col min="1" max="1" width="14.3984375" bestFit="1" customWidth="1"/>
    <col min="17" max="17" width="14.3984375" bestFit="1" customWidth="1"/>
  </cols>
  <sheetData>
    <row r="2" spans="1:44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25</v>
      </c>
      <c r="L2" t="s">
        <v>0</v>
      </c>
      <c r="M2" t="s">
        <v>10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25</v>
      </c>
      <c r="W2" t="s">
        <v>0</v>
      </c>
      <c r="X2" t="s">
        <v>11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25</v>
      </c>
      <c r="AH2" t="s">
        <v>0</v>
      </c>
      <c r="AI2" t="s">
        <v>12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R2" t="s">
        <v>25</v>
      </c>
    </row>
    <row r="3" spans="1:44" x14ac:dyDescent="0.45">
      <c r="C3">
        <v>30</v>
      </c>
      <c r="D3">
        <v>30</v>
      </c>
      <c r="E3">
        <v>10</v>
      </c>
      <c r="F3">
        <v>10</v>
      </c>
      <c r="G3">
        <v>53.3333333333333</v>
      </c>
      <c r="H3">
        <v>53.3333333333333</v>
      </c>
      <c r="I3">
        <v>89.213709677419402</v>
      </c>
      <c r="J3">
        <v>40.262096774193601</v>
      </c>
      <c r="K3">
        <v>54.193548387096797</v>
      </c>
      <c r="N3">
        <v>40</v>
      </c>
      <c r="O3">
        <v>40</v>
      </c>
      <c r="P3">
        <v>10</v>
      </c>
      <c r="Q3">
        <v>10</v>
      </c>
      <c r="R3">
        <v>63.3333333333333</v>
      </c>
      <c r="S3">
        <v>63.3333333333333</v>
      </c>
      <c r="T3">
        <v>56.169354838709701</v>
      </c>
      <c r="U3">
        <v>36.350806451612897</v>
      </c>
      <c r="V3">
        <v>54.193548387096797</v>
      </c>
      <c r="Y3">
        <v>43.3333333333333</v>
      </c>
      <c r="Z3">
        <v>43.3333333333333</v>
      </c>
      <c r="AA3">
        <v>40</v>
      </c>
      <c r="AB3">
        <v>40</v>
      </c>
      <c r="AC3">
        <v>50</v>
      </c>
      <c r="AD3">
        <v>50</v>
      </c>
      <c r="AE3">
        <v>51.350806451612897</v>
      </c>
      <c r="AF3">
        <v>83.205645161290306</v>
      </c>
      <c r="AG3">
        <v>57.1572580645161</v>
      </c>
      <c r="AJ3">
        <v>40</v>
      </c>
      <c r="AK3">
        <v>40</v>
      </c>
      <c r="AL3">
        <v>10</v>
      </c>
      <c r="AM3">
        <v>10</v>
      </c>
      <c r="AN3">
        <v>46.6666666666667</v>
      </c>
      <c r="AO3">
        <v>46.6666666666667</v>
      </c>
      <c r="AP3">
        <v>44.314516129032299</v>
      </c>
      <c r="AQ3">
        <v>56.814516129032299</v>
      </c>
      <c r="AR3">
        <v>51.854838709677402</v>
      </c>
    </row>
    <row r="4" spans="1:44" x14ac:dyDescent="0.45">
      <c r="C4">
        <v>56.6666666666667</v>
      </c>
      <c r="D4">
        <v>56.6666666666667</v>
      </c>
      <c r="E4">
        <v>26.6666666666667</v>
      </c>
      <c r="F4">
        <v>26.6666666666667</v>
      </c>
      <c r="G4">
        <v>80</v>
      </c>
      <c r="H4">
        <v>80</v>
      </c>
      <c r="I4">
        <v>53.306451612903203</v>
      </c>
      <c r="J4">
        <v>87.036290322580598</v>
      </c>
      <c r="K4">
        <v>98.629032258064498</v>
      </c>
      <c r="N4">
        <v>60</v>
      </c>
      <c r="O4">
        <v>60</v>
      </c>
      <c r="P4">
        <v>23.3333333333333</v>
      </c>
      <c r="Q4">
        <v>23.3333333333333</v>
      </c>
      <c r="R4">
        <v>80</v>
      </c>
      <c r="S4">
        <v>80</v>
      </c>
      <c r="T4">
        <v>94.254032258064498</v>
      </c>
      <c r="U4">
        <v>46.673387096774199</v>
      </c>
      <c r="V4">
        <v>58.548387096774199</v>
      </c>
      <c r="Y4">
        <v>60</v>
      </c>
      <c r="Z4">
        <v>60</v>
      </c>
      <c r="AA4">
        <v>23.3333333333333</v>
      </c>
      <c r="AB4">
        <v>23.3333333333333</v>
      </c>
      <c r="AC4">
        <v>60</v>
      </c>
      <c r="AD4">
        <v>60</v>
      </c>
      <c r="AE4">
        <v>88.145161290322605</v>
      </c>
      <c r="AF4">
        <v>85.383064516128997</v>
      </c>
      <c r="AG4">
        <v>88.145161290322605</v>
      </c>
      <c r="AJ4">
        <v>20</v>
      </c>
      <c r="AK4">
        <v>20</v>
      </c>
      <c r="AL4">
        <v>6.6666666666666696</v>
      </c>
      <c r="AM4">
        <v>6.6666666666666696</v>
      </c>
      <c r="AN4">
        <v>36.6666666666667</v>
      </c>
      <c r="AO4">
        <v>36.6666666666667</v>
      </c>
      <c r="AP4">
        <v>86.008064516128997</v>
      </c>
      <c r="AQ4">
        <v>31.915322580645199</v>
      </c>
      <c r="AR4">
        <v>85.987903225806406</v>
      </c>
    </row>
    <row r="5" spans="1:44" x14ac:dyDescent="0.45">
      <c r="C5">
        <v>43.3333333333333</v>
      </c>
      <c r="D5">
        <v>43.3333333333333</v>
      </c>
      <c r="E5">
        <v>3.3333333333333299</v>
      </c>
      <c r="F5">
        <v>3.3333333333333299</v>
      </c>
      <c r="G5">
        <v>50</v>
      </c>
      <c r="H5">
        <v>50</v>
      </c>
      <c r="I5">
        <v>93.790322580645196</v>
      </c>
      <c r="J5">
        <v>30.544354838709701</v>
      </c>
      <c r="K5">
        <v>93.145161290322605</v>
      </c>
      <c r="N5">
        <v>60</v>
      </c>
      <c r="O5">
        <v>60</v>
      </c>
      <c r="P5">
        <v>6.6666666666666696</v>
      </c>
      <c r="Q5">
        <v>6.6666666666666696</v>
      </c>
      <c r="R5">
        <v>53.3333333333333</v>
      </c>
      <c r="S5">
        <v>53.3333333333333</v>
      </c>
      <c r="T5">
        <v>95.645161290322605</v>
      </c>
      <c r="U5">
        <v>32.177419354838698</v>
      </c>
      <c r="V5">
        <v>95.604838709677395</v>
      </c>
      <c r="Y5">
        <v>60</v>
      </c>
      <c r="Z5">
        <v>60</v>
      </c>
      <c r="AA5">
        <v>6.6666666666666696</v>
      </c>
      <c r="AB5">
        <v>6.6666666666666696</v>
      </c>
      <c r="AC5">
        <v>63.3333333333333</v>
      </c>
      <c r="AD5">
        <v>63.3333333333333</v>
      </c>
      <c r="AE5">
        <v>48.709677419354797</v>
      </c>
      <c r="AF5">
        <v>36.5927419354839</v>
      </c>
      <c r="AG5">
        <v>48.629032258064498</v>
      </c>
      <c r="AJ5">
        <v>53.3333333333333</v>
      </c>
      <c r="AK5">
        <v>53.3333333333333</v>
      </c>
      <c r="AL5">
        <v>10</v>
      </c>
      <c r="AM5">
        <v>10</v>
      </c>
      <c r="AN5">
        <v>46.6666666666667</v>
      </c>
      <c r="AO5">
        <v>46.6666666666667</v>
      </c>
      <c r="AP5">
        <v>53.951612903225801</v>
      </c>
      <c r="AQ5">
        <v>44.778225806451601</v>
      </c>
      <c r="AR5">
        <v>49.435483870967701</v>
      </c>
    </row>
    <row r="6" spans="1:44" x14ac:dyDescent="0.45">
      <c r="C6">
        <v>50</v>
      </c>
      <c r="D6">
        <v>50</v>
      </c>
      <c r="E6">
        <v>33.3333333333333</v>
      </c>
      <c r="F6">
        <v>33.3333333333333</v>
      </c>
      <c r="G6">
        <v>63.3333333333333</v>
      </c>
      <c r="H6">
        <v>63.3333333333333</v>
      </c>
      <c r="I6">
        <v>37.822580645161302</v>
      </c>
      <c r="J6">
        <v>47.741935483871003</v>
      </c>
      <c r="K6">
        <v>51.370967741935502</v>
      </c>
      <c r="N6">
        <v>70</v>
      </c>
      <c r="O6">
        <v>70</v>
      </c>
      <c r="P6">
        <v>13.3333333333333</v>
      </c>
      <c r="Q6">
        <v>13.3333333333333</v>
      </c>
      <c r="R6">
        <v>73.3333333333333</v>
      </c>
      <c r="S6">
        <v>73.3333333333333</v>
      </c>
      <c r="T6">
        <v>93.951612903225794</v>
      </c>
      <c r="U6">
        <v>40.705645161290299</v>
      </c>
      <c r="V6">
        <v>94.596774193548399</v>
      </c>
      <c r="Y6">
        <v>76.6666666666667</v>
      </c>
      <c r="Z6">
        <v>76.6666666666667</v>
      </c>
      <c r="AA6">
        <v>20</v>
      </c>
      <c r="AB6">
        <v>20</v>
      </c>
      <c r="AC6">
        <v>86.6666666666667</v>
      </c>
      <c r="AD6">
        <v>86.6666666666667</v>
      </c>
      <c r="AE6">
        <v>98.689516129032299</v>
      </c>
      <c r="AF6">
        <v>35.504032258064498</v>
      </c>
      <c r="AG6">
        <v>99.274193548387103</v>
      </c>
      <c r="AJ6">
        <v>56.6666666666667</v>
      </c>
      <c r="AK6">
        <v>56.6666666666667</v>
      </c>
      <c r="AL6">
        <v>26.6666666666667</v>
      </c>
      <c r="AM6">
        <v>26.6666666666667</v>
      </c>
      <c r="AN6">
        <v>66.6666666666667</v>
      </c>
      <c r="AO6">
        <v>66.6666666666667</v>
      </c>
      <c r="AP6">
        <v>95.100806451612897</v>
      </c>
      <c r="AQ6">
        <v>86.653225806451601</v>
      </c>
      <c r="AR6">
        <v>96.108870967741893</v>
      </c>
    </row>
    <row r="7" spans="1:44" x14ac:dyDescent="0.45">
      <c r="C7">
        <v>36.6666666666667</v>
      </c>
      <c r="D7">
        <v>36.6666666666667</v>
      </c>
      <c r="E7">
        <v>3.3333333333333299</v>
      </c>
      <c r="F7">
        <v>3.3333333333333299</v>
      </c>
      <c r="G7">
        <v>36.6666666666667</v>
      </c>
      <c r="H7">
        <v>36.6666666666667</v>
      </c>
      <c r="I7">
        <v>51.794354838709701</v>
      </c>
      <c r="J7">
        <v>39.758064516128997</v>
      </c>
      <c r="K7">
        <v>45</v>
      </c>
      <c r="N7">
        <v>40</v>
      </c>
      <c r="O7">
        <v>40</v>
      </c>
      <c r="P7">
        <v>23.3333333333333</v>
      </c>
      <c r="Q7">
        <v>23.3333333333333</v>
      </c>
      <c r="R7">
        <v>46.6666666666667</v>
      </c>
      <c r="S7">
        <v>46.6666666666667</v>
      </c>
      <c r="T7">
        <v>70.2822580645161</v>
      </c>
      <c r="U7">
        <v>58.729838709677402</v>
      </c>
      <c r="V7">
        <v>70.362903225806406</v>
      </c>
      <c r="Y7">
        <v>46.6666666666667</v>
      </c>
      <c r="Z7">
        <v>46.6666666666667</v>
      </c>
      <c r="AA7">
        <v>20</v>
      </c>
      <c r="AB7">
        <v>20</v>
      </c>
      <c r="AC7">
        <v>43.3333333333333</v>
      </c>
      <c r="AD7">
        <v>43.3333333333333</v>
      </c>
      <c r="AE7">
        <v>41.1088709677419</v>
      </c>
      <c r="AF7">
        <v>76.229838709677395</v>
      </c>
      <c r="AG7">
        <v>67.177419354838705</v>
      </c>
      <c r="AJ7">
        <v>53.3333333333333</v>
      </c>
      <c r="AK7">
        <v>53.3333333333333</v>
      </c>
      <c r="AL7">
        <v>30</v>
      </c>
      <c r="AM7">
        <v>30</v>
      </c>
      <c r="AN7">
        <v>53.3333333333333</v>
      </c>
      <c r="AO7">
        <v>53.3333333333333</v>
      </c>
      <c r="AP7">
        <v>45.564516129032299</v>
      </c>
      <c r="AQ7">
        <v>87.600806451612897</v>
      </c>
      <c r="AR7">
        <v>88.689516129032299</v>
      </c>
    </row>
    <row r="8" spans="1:44" x14ac:dyDescent="0.45">
      <c r="C8">
        <v>43.3333333333333</v>
      </c>
      <c r="D8">
        <v>43.3333333333333</v>
      </c>
      <c r="E8">
        <v>6.6666666666666696</v>
      </c>
      <c r="F8">
        <v>6.6666666666666696</v>
      </c>
      <c r="G8">
        <v>43.3333333333333</v>
      </c>
      <c r="H8">
        <v>43.3333333333333</v>
      </c>
      <c r="I8">
        <v>91.733870967741893</v>
      </c>
      <c r="J8">
        <v>43.245967741935502</v>
      </c>
      <c r="K8">
        <v>91.733870967741893</v>
      </c>
      <c r="N8">
        <v>43.3333333333333</v>
      </c>
      <c r="O8">
        <v>43.3333333333333</v>
      </c>
      <c r="P8">
        <v>6.6666666666666696</v>
      </c>
      <c r="Q8">
        <v>6.6666666666666696</v>
      </c>
      <c r="R8">
        <v>56.6666666666667</v>
      </c>
      <c r="S8">
        <v>56.6666666666667</v>
      </c>
      <c r="T8">
        <v>41.048387096774199</v>
      </c>
      <c r="U8">
        <v>40.120967741935502</v>
      </c>
      <c r="V8">
        <v>54.596774193548399</v>
      </c>
      <c r="Y8">
        <v>40</v>
      </c>
      <c r="Z8">
        <v>40</v>
      </c>
      <c r="AA8">
        <v>30</v>
      </c>
      <c r="AB8">
        <v>30</v>
      </c>
      <c r="AC8">
        <v>50</v>
      </c>
      <c r="AD8">
        <v>50</v>
      </c>
      <c r="AE8">
        <v>92.298387096774206</v>
      </c>
      <c r="AF8">
        <v>86.310483870967701</v>
      </c>
      <c r="AG8">
        <v>92.923387096774206</v>
      </c>
      <c r="AJ8">
        <v>46.6666666666667</v>
      </c>
      <c r="AK8">
        <v>46.6666666666667</v>
      </c>
      <c r="AL8">
        <v>6.6666666666666696</v>
      </c>
      <c r="AM8">
        <v>6.6666666666666696</v>
      </c>
      <c r="AN8">
        <v>50</v>
      </c>
      <c r="AO8">
        <v>50</v>
      </c>
      <c r="AP8">
        <v>55.725806451612897</v>
      </c>
      <c r="AQ8">
        <v>36.814516129032299</v>
      </c>
      <c r="AR8">
        <v>55.020161290322598</v>
      </c>
    </row>
    <row r="9" spans="1:44" x14ac:dyDescent="0.45">
      <c r="C9">
        <v>26.6666666666667</v>
      </c>
      <c r="D9">
        <v>26.6666666666667</v>
      </c>
      <c r="E9">
        <v>16.6666666666667</v>
      </c>
      <c r="F9">
        <v>16.6666666666667</v>
      </c>
      <c r="G9">
        <v>40</v>
      </c>
      <c r="H9">
        <v>40</v>
      </c>
      <c r="I9">
        <v>50.645161290322598</v>
      </c>
      <c r="J9">
        <v>86.209677419354804</v>
      </c>
      <c r="K9">
        <v>88.024193548387103</v>
      </c>
      <c r="N9">
        <v>46.6666666666667</v>
      </c>
      <c r="O9">
        <v>46.6666666666667</v>
      </c>
      <c r="P9">
        <v>10</v>
      </c>
      <c r="Q9">
        <v>10</v>
      </c>
      <c r="R9">
        <v>60</v>
      </c>
      <c r="S9">
        <v>60</v>
      </c>
      <c r="T9">
        <v>42.338709677419402</v>
      </c>
      <c r="U9">
        <v>39.395161290322598</v>
      </c>
      <c r="V9">
        <v>48.145161290322598</v>
      </c>
      <c r="Y9">
        <v>40</v>
      </c>
      <c r="Z9">
        <v>40</v>
      </c>
      <c r="AA9">
        <v>10</v>
      </c>
      <c r="AB9">
        <v>10</v>
      </c>
      <c r="AC9">
        <v>46.6666666666667</v>
      </c>
      <c r="AD9">
        <v>46.6666666666667</v>
      </c>
      <c r="AE9">
        <v>36.068548387096797</v>
      </c>
      <c r="AF9">
        <v>46.774193548387103</v>
      </c>
      <c r="AG9">
        <v>54.959677419354797</v>
      </c>
      <c r="AJ9">
        <v>53.3333333333333</v>
      </c>
      <c r="AK9">
        <v>53.3333333333333</v>
      </c>
      <c r="AL9">
        <v>6.6666666666666696</v>
      </c>
      <c r="AM9">
        <v>6.6666666666666696</v>
      </c>
      <c r="AN9">
        <v>73.3333333333333</v>
      </c>
      <c r="AO9">
        <v>73.3333333333333</v>
      </c>
      <c r="AP9">
        <v>93.366935483871003</v>
      </c>
      <c r="AQ9">
        <v>74.0927419354839</v>
      </c>
      <c r="AR9">
        <v>98.064516129032299</v>
      </c>
    </row>
    <row r="10" spans="1:44" x14ac:dyDescent="0.45">
      <c r="C10">
        <v>30</v>
      </c>
      <c r="D10">
        <v>30</v>
      </c>
      <c r="E10">
        <v>30</v>
      </c>
      <c r="F10">
        <v>30</v>
      </c>
      <c r="G10">
        <v>50</v>
      </c>
      <c r="H10">
        <v>50</v>
      </c>
      <c r="I10">
        <v>42.923387096774199</v>
      </c>
      <c r="J10">
        <v>49.979838709677402</v>
      </c>
      <c r="K10">
        <v>47.419354838709701</v>
      </c>
      <c r="N10">
        <v>40</v>
      </c>
      <c r="O10">
        <v>40</v>
      </c>
      <c r="P10">
        <v>10</v>
      </c>
      <c r="Q10">
        <v>10</v>
      </c>
      <c r="R10">
        <v>46.6666666666667</v>
      </c>
      <c r="S10">
        <v>46.6666666666667</v>
      </c>
      <c r="T10">
        <v>53.850806451612897</v>
      </c>
      <c r="U10">
        <v>45.927419354838698</v>
      </c>
      <c r="V10">
        <v>42.177419354838698</v>
      </c>
      <c r="Y10">
        <v>53.3333333333333</v>
      </c>
      <c r="Z10">
        <v>53.3333333333333</v>
      </c>
      <c r="AA10">
        <v>3.3333333333333299</v>
      </c>
      <c r="AB10">
        <v>3.3333333333333299</v>
      </c>
      <c r="AC10">
        <v>36.6666666666667</v>
      </c>
      <c r="AD10">
        <v>36.6666666666667</v>
      </c>
      <c r="AE10">
        <v>56.310483870967701</v>
      </c>
      <c r="AF10">
        <v>35.927419354838698</v>
      </c>
      <c r="AG10">
        <v>40.9677419354839</v>
      </c>
      <c r="AJ10">
        <v>33.3333333333333</v>
      </c>
      <c r="AK10">
        <v>33.3333333333333</v>
      </c>
      <c r="AL10">
        <v>20</v>
      </c>
      <c r="AM10">
        <v>20</v>
      </c>
      <c r="AN10">
        <v>46.6666666666667</v>
      </c>
      <c r="AO10">
        <v>46.6666666666667</v>
      </c>
      <c r="AP10">
        <v>40.3427419354839</v>
      </c>
      <c r="AQ10">
        <v>33.810483870967701</v>
      </c>
      <c r="AR10">
        <v>40.564516129032299</v>
      </c>
    </row>
    <row r="11" spans="1:44" x14ac:dyDescent="0.45">
      <c r="C11">
        <v>56.6666666666667</v>
      </c>
      <c r="D11">
        <v>56.6666666666667</v>
      </c>
      <c r="E11">
        <v>0</v>
      </c>
      <c r="F11">
        <v>0</v>
      </c>
      <c r="G11">
        <v>56.6666666666667</v>
      </c>
      <c r="H11">
        <v>56.6666666666667</v>
      </c>
      <c r="I11">
        <v>56.5322580645161</v>
      </c>
      <c r="J11">
        <v>37.439516129032299</v>
      </c>
      <c r="K11">
        <v>56.5322580645161</v>
      </c>
      <c r="N11">
        <v>60</v>
      </c>
      <c r="O11">
        <v>60</v>
      </c>
      <c r="P11">
        <v>3.3333333333333299</v>
      </c>
      <c r="Q11">
        <v>3.3333333333333299</v>
      </c>
      <c r="R11">
        <v>56.6666666666667</v>
      </c>
      <c r="S11">
        <v>56.6666666666667</v>
      </c>
      <c r="T11">
        <v>42.5</v>
      </c>
      <c r="U11">
        <v>35.362903225806399</v>
      </c>
      <c r="V11">
        <v>43.306451612903203</v>
      </c>
      <c r="Y11">
        <v>40</v>
      </c>
      <c r="Z11">
        <v>40</v>
      </c>
      <c r="AA11">
        <v>36.6666666666667</v>
      </c>
      <c r="AB11">
        <v>36.6666666666667</v>
      </c>
      <c r="AC11">
        <v>66.6666666666667</v>
      </c>
      <c r="AD11">
        <v>66.6666666666667</v>
      </c>
      <c r="AE11">
        <v>48.145161290322598</v>
      </c>
      <c r="AF11">
        <v>90.685483870967701</v>
      </c>
      <c r="AG11">
        <v>93.306451612903203</v>
      </c>
      <c r="AJ11">
        <v>53.3333333333333</v>
      </c>
      <c r="AK11">
        <v>53.3333333333333</v>
      </c>
      <c r="AL11">
        <v>16.6666666666667</v>
      </c>
      <c r="AM11">
        <v>16.6666666666667</v>
      </c>
      <c r="AN11">
        <v>50</v>
      </c>
      <c r="AO11">
        <v>50</v>
      </c>
      <c r="AP11">
        <v>54.274193548387103</v>
      </c>
      <c r="AQ11">
        <v>66.653225806451601</v>
      </c>
      <c r="AR11">
        <v>57.237903225806399</v>
      </c>
    </row>
    <row r="12" spans="1:44" x14ac:dyDescent="0.45">
      <c r="C12">
        <v>33.3333333333333</v>
      </c>
      <c r="D12">
        <v>33.3333333333333</v>
      </c>
      <c r="E12">
        <v>26.6666666666667</v>
      </c>
      <c r="F12">
        <v>26.6666666666667</v>
      </c>
      <c r="G12">
        <v>43.3333333333333</v>
      </c>
      <c r="H12">
        <v>43.3333333333333</v>
      </c>
      <c r="I12">
        <v>77.943548387096797</v>
      </c>
      <c r="J12">
        <v>50.262096774193601</v>
      </c>
      <c r="K12">
        <v>83.427419354838705</v>
      </c>
      <c r="N12">
        <v>60</v>
      </c>
      <c r="O12">
        <v>60</v>
      </c>
      <c r="P12">
        <v>43.3333333333333</v>
      </c>
      <c r="Q12">
        <v>43.3333333333333</v>
      </c>
      <c r="R12">
        <v>53.3333333333333</v>
      </c>
      <c r="S12">
        <v>53.3333333333333</v>
      </c>
      <c r="T12">
        <v>46.129032258064498</v>
      </c>
      <c r="U12">
        <v>79.495967741935502</v>
      </c>
      <c r="V12">
        <v>39.334677419354797</v>
      </c>
      <c r="Y12">
        <v>53.3333333333333</v>
      </c>
      <c r="Z12">
        <v>53.3333333333333</v>
      </c>
      <c r="AA12">
        <v>16.6666666666667</v>
      </c>
      <c r="AB12">
        <v>16.6666666666667</v>
      </c>
      <c r="AC12">
        <v>70</v>
      </c>
      <c r="AD12">
        <v>70</v>
      </c>
      <c r="AE12">
        <v>46.774193548387103</v>
      </c>
      <c r="AF12">
        <v>43.487903225806399</v>
      </c>
      <c r="AG12">
        <v>48.225806451612897</v>
      </c>
      <c r="AJ12">
        <v>36.6666666666667</v>
      </c>
      <c r="AK12">
        <v>36.6666666666667</v>
      </c>
      <c r="AL12">
        <v>10</v>
      </c>
      <c r="AM12">
        <v>10</v>
      </c>
      <c r="AN12">
        <v>36.6666666666667</v>
      </c>
      <c r="AO12">
        <v>36.6666666666667</v>
      </c>
      <c r="AP12">
        <v>43.528225806451601</v>
      </c>
      <c r="AQ12">
        <v>38.770161290322598</v>
      </c>
      <c r="AR12">
        <v>43.850806451612897</v>
      </c>
    </row>
    <row r="13" spans="1:44" s="1" customFormat="1" x14ac:dyDescent="0.45">
      <c r="B13" s="1" t="s">
        <v>20</v>
      </c>
      <c r="C13" s="1">
        <f>AVERAGE(C3:C12)</f>
        <v>40.666666666666671</v>
      </c>
      <c r="D13" s="1">
        <f t="shared" ref="D13:K13" si="0">AVERAGE(D3:D12)</f>
        <v>40.666666666666671</v>
      </c>
      <c r="E13" s="1">
        <f t="shared" si="0"/>
        <v>15.666666666666675</v>
      </c>
      <c r="F13" s="1">
        <f t="shared" si="0"/>
        <v>15.666666666666675</v>
      </c>
      <c r="G13" s="1">
        <f t="shared" si="0"/>
        <v>51.666666666666664</v>
      </c>
      <c r="H13" s="1">
        <f t="shared" si="0"/>
        <v>51.666666666666664</v>
      </c>
      <c r="I13" s="1">
        <f t="shared" si="0"/>
        <v>64.570564516129053</v>
      </c>
      <c r="J13" s="1">
        <f t="shared" si="0"/>
        <v>51.247983870967758</v>
      </c>
      <c r="K13" s="1">
        <f t="shared" si="0"/>
        <v>70.947580645161295</v>
      </c>
      <c r="M13" s="1" t="s">
        <v>20</v>
      </c>
      <c r="N13" s="1">
        <f t="shared" ref="N13" si="1">AVERAGE(N3:N12)</f>
        <v>52</v>
      </c>
      <c r="O13" s="1">
        <f t="shared" ref="O13" si="2">AVERAGE(O3:O12)</f>
        <v>52</v>
      </c>
      <c r="P13" s="1">
        <f t="shared" ref="P13" si="3">AVERAGE(P3:P12)</f>
        <v>14.999999999999989</v>
      </c>
      <c r="Q13" s="1">
        <f t="shared" ref="Q13" si="4">AVERAGE(Q3:Q12)</f>
        <v>14.999999999999989</v>
      </c>
      <c r="R13" s="1">
        <f t="shared" ref="R13" si="5">AVERAGE(R3:R12)</f>
        <v>59</v>
      </c>
      <c r="S13" s="1">
        <f t="shared" ref="S13" si="6">AVERAGE(S3:S12)</f>
        <v>59</v>
      </c>
      <c r="T13" s="1">
        <f t="shared" ref="T13" si="7">AVERAGE(T3:T12)</f>
        <v>63.616935483870975</v>
      </c>
      <c r="U13" s="1">
        <f t="shared" ref="U13:V13" si="8">AVERAGE(U3:U12)</f>
        <v>45.493951612903224</v>
      </c>
      <c r="V13" s="1">
        <f t="shared" si="8"/>
        <v>60.086693548387089</v>
      </c>
      <c r="X13" s="1" t="s">
        <v>20</v>
      </c>
      <c r="Y13" s="1">
        <f t="shared" ref="Y13" si="9">AVERAGE(Y3:Y12)</f>
        <v>51.333333333333329</v>
      </c>
      <c r="Z13" s="1">
        <f t="shared" ref="Z13" si="10">AVERAGE(Z3:Z12)</f>
        <v>51.333333333333329</v>
      </c>
      <c r="AA13" s="1">
        <f t="shared" ref="AA13" si="11">AVERAGE(AA3:AA12)</f>
        <v>20.666666666666668</v>
      </c>
      <c r="AB13" s="1">
        <f t="shared" ref="AB13" si="12">AVERAGE(AB3:AB12)</f>
        <v>20.666666666666668</v>
      </c>
      <c r="AC13" s="1">
        <f t="shared" ref="AC13" si="13">AVERAGE(AC3:AC12)</f>
        <v>57.333333333333336</v>
      </c>
      <c r="AD13" s="1">
        <f t="shared" ref="AD13" si="14">AVERAGE(AD3:AD12)</f>
        <v>57.333333333333336</v>
      </c>
      <c r="AE13" s="1">
        <f t="shared" ref="AE13" si="15">AVERAGE(AE3:AE12)</f>
        <v>60.760080645161281</v>
      </c>
      <c r="AF13" s="1">
        <f t="shared" ref="AF13:AG13" si="16">AVERAGE(AF3:AF12)</f>
        <v>62.010080645161267</v>
      </c>
      <c r="AG13" s="1">
        <f t="shared" si="16"/>
        <v>69.076612903225808</v>
      </c>
      <c r="AI13" s="1" t="s">
        <v>20</v>
      </c>
      <c r="AJ13" s="1">
        <f t="shared" ref="AJ13" si="17">AVERAGE(AJ3:AJ12)</f>
        <v>44.666666666666664</v>
      </c>
      <c r="AK13" s="1">
        <f t="shared" ref="AK13" si="18">AVERAGE(AK3:AK12)</f>
        <v>44.666666666666664</v>
      </c>
      <c r="AL13" s="1">
        <f t="shared" ref="AL13" si="19">AVERAGE(AL3:AL12)</f>
        <v>14.333333333333343</v>
      </c>
      <c r="AM13" s="1">
        <f t="shared" ref="AM13" si="20">AVERAGE(AM3:AM12)</f>
        <v>14.333333333333343</v>
      </c>
      <c r="AN13" s="1">
        <f t="shared" ref="AN13" si="21">AVERAGE(AN3:AN12)</f>
        <v>50.666666666666679</v>
      </c>
      <c r="AO13" s="1">
        <f t="shared" ref="AO13" si="22">AVERAGE(AO3:AO12)</f>
        <v>50.666666666666679</v>
      </c>
      <c r="AP13" s="1">
        <f t="shared" ref="AP13" si="23">AVERAGE(AP3:AP12)</f>
        <v>61.217741935483879</v>
      </c>
      <c r="AQ13" s="1">
        <f t="shared" ref="AQ13:AR13" si="24">AVERAGE(AQ3:AQ12)</f>
        <v>55.79032258064516</v>
      </c>
      <c r="AR13" s="1">
        <f t="shared" si="24"/>
        <v>66.681451612903217</v>
      </c>
    </row>
    <row r="14" spans="1:44" x14ac:dyDescent="0.45">
      <c r="B14" s="1" t="s">
        <v>40</v>
      </c>
      <c r="C14" s="1">
        <f>_xlfn.STDEV.S(C3:C12)</f>
        <v>11.088866622110841</v>
      </c>
      <c r="D14" s="1">
        <f t="shared" ref="D14:K14" si="25">_xlfn.STDEV.S(D3:D12)</f>
        <v>11.088866622110841</v>
      </c>
      <c r="E14" s="1">
        <f t="shared" si="25"/>
        <v>12.575696726151921</v>
      </c>
      <c r="F14" s="1">
        <f t="shared" si="25"/>
        <v>12.575696726151921</v>
      </c>
      <c r="G14" s="1">
        <f t="shared" si="25"/>
        <v>12.789849370245918</v>
      </c>
      <c r="H14" s="1">
        <f t="shared" si="25"/>
        <v>12.789849370245918</v>
      </c>
      <c r="I14" s="1">
        <f t="shared" si="25"/>
        <v>21.370953054197937</v>
      </c>
      <c r="J14" s="1">
        <f t="shared" si="25"/>
        <v>19.590387937724071</v>
      </c>
      <c r="K14" s="1">
        <f t="shared" si="25"/>
        <v>21.697464120758227</v>
      </c>
      <c r="M14" s="1" t="s">
        <v>40</v>
      </c>
      <c r="N14" s="1">
        <f>_xlfn.STDEV.S(N3:N12)</f>
        <v>11.133311155444749</v>
      </c>
      <c r="O14" s="1">
        <f t="shared" ref="O14:V14" si="26">_xlfn.STDEV.S(O3:O12)</f>
        <v>11.133311155444749</v>
      </c>
      <c r="P14" s="1">
        <f t="shared" si="26"/>
        <v>11.992796191623819</v>
      </c>
      <c r="Q14" s="1">
        <f t="shared" si="26"/>
        <v>11.992796191623819</v>
      </c>
      <c r="R14" s="1">
        <f t="shared" si="26"/>
        <v>10.778350500246907</v>
      </c>
      <c r="S14" s="1">
        <f t="shared" si="26"/>
        <v>10.778350500246907</v>
      </c>
      <c r="T14" s="1">
        <f t="shared" si="26"/>
        <v>23.078984796846935</v>
      </c>
      <c r="U14" s="1">
        <f t="shared" si="26"/>
        <v>14.084909672785239</v>
      </c>
      <c r="V14" s="1">
        <f t="shared" si="26"/>
        <v>20.550438048764978</v>
      </c>
      <c r="X14" s="1" t="s">
        <v>40</v>
      </c>
      <c r="Y14" s="1">
        <f>_xlfn.STDEV.S(Y3:Y12)</f>
        <v>11.884215072996415</v>
      </c>
      <c r="Z14" s="1">
        <f t="shared" ref="Z14:AG14" si="27">_xlfn.STDEV.S(Z3:Z12)</f>
        <v>11.884215072996415</v>
      </c>
      <c r="AA14" s="1">
        <f t="shared" si="27"/>
        <v>12.252487779635761</v>
      </c>
      <c r="AB14" s="1">
        <f t="shared" si="27"/>
        <v>12.252487779635761</v>
      </c>
      <c r="AC14" s="1">
        <f t="shared" si="27"/>
        <v>14.890547171334179</v>
      </c>
      <c r="AD14" s="1">
        <f t="shared" si="27"/>
        <v>14.890547171334179</v>
      </c>
      <c r="AE14" s="1">
        <f t="shared" si="27"/>
        <v>23.063627201865188</v>
      </c>
      <c r="AF14" s="1">
        <f t="shared" si="27"/>
        <v>24.070863984977599</v>
      </c>
      <c r="AG14" s="1">
        <f t="shared" si="27"/>
        <v>22.158999355948616</v>
      </c>
      <c r="AI14" s="1" t="s">
        <v>40</v>
      </c>
      <c r="AJ14" s="1">
        <f>_xlfn.STDEV.S(AJ3:AJ12)</f>
        <v>11.884215072996382</v>
      </c>
      <c r="AK14" s="1">
        <f t="shared" ref="AK14:AR14" si="28">_xlfn.STDEV.S(AK3:AK12)</f>
        <v>11.884215072996382</v>
      </c>
      <c r="AL14" s="1">
        <f t="shared" si="28"/>
        <v>8.6137988636952496</v>
      </c>
      <c r="AM14" s="1">
        <f t="shared" si="28"/>
        <v>8.6137988636952496</v>
      </c>
      <c r="AN14" s="1">
        <f t="shared" si="28"/>
        <v>11.632224291824338</v>
      </c>
      <c r="AO14" s="1">
        <f t="shared" si="28"/>
        <v>11.632224291824338</v>
      </c>
      <c r="AP14" s="1">
        <f t="shared" si="28"/>
        <v>21.61992593736823</v>
      </c>
      <c r="AQ14" s="1">
        <f t="shared" si="28"/>
        <v>21.711794551180603</v>
      </c>
      <c r="AR14" s="1">
        <f t="shared" si="28"/>
        <v>22.73937982920302</v>
      </c>
    </row>
    <row r="18" spans="1:44" x14ac:dyDescent="0.45">
      <c r="A18" t="s">
        <v>13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25</v>
      </c>
      <c r="L18" t="s">
        <v>13</v>
      </c>
      <c r="M18" t="s">
        <v>10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  <c r="U18" t="s">
        <v>9</v>
      </c>
      <c r="V18" t="s">
        <v>25</v>
      </c>
      <c r="W18" t="s">
        <v>13</v>
      </c>
      <c r="X18" t="s">
        <v>11</v>
      </c>
      <c r="Y18" t="s">
        <v>2</v>
      </c>
      <c r="Z18" t="s">
        <v>3</v>
      </c>
      <c r="AA18" t="s">
        <v>4</v>
      </c>
      <c r="AB18" t="s">
        <v>5</v>
      </c>
      <c r="AC18" t="s">
        <v>6</v>
      </c>
      <c r="AD18" t="s">
        <v>7</v>
      </c>
      <c r="AE18" t="s">
        <v>8</v>
      </c>
      <c r="AF18" t="s">
        <v>9</v>
      </c>
      <c r="AG18" t="s">
        <v>25</v>
      </c>
      <c r="AH18" t="s">
        <v>13</v>
      </c>
      <c r="AI18" t="s">
        <v>12</v>
      </c>
      <c r="AJ18" t="s">
        <v>2</v>
      </c>
      <c r="AK18" t="s">
        <v>3</v>
      </c>
      <c r="AL18" t="s">
        <v>4</v>
      </c>
      <c r="AM18" t="s">
        <v>5</v>
      </c>
      <c r="AN18" t="s">
        <v>6</v>
      </c>
      <c r="AO18" t="s">
        <v>7</v>
      </c>
      <c r="AP18" t="s">
        <v>8</v>
      </c>
      <c r="AQ18" t="s">
        <v>9</v>
      </c>
      <c r="AR18" t="s">
        <v>25</v>
      </c>
    </row>
    <row r="19" spans="1:44" x14ac:dyDescent="0.45">
      <c r="C19">
        <v>56.6666666666667</v>
      </c>
      <c r="D19">
        <v>56.6666666666667</v>
      </c>
      <c r="E19">
        <v>13.3333333333333</v>
      </c>
      <c r="F19">
        <v>13.3333333333333</v>
      </c>
      <c r="G19">
        <v>73.3333333333333</v>
      </c>
      <c r="H19">
        <v>73.3333333333333</v>
      </c>
      <c r="I19">
        <v>43.951612903225801</v>
      </c>
      <c r="J19">
        <v>77.701612903225794</v>
      </c>
      <c r="K19">
        <v>94.0322580645161</v>
      </c>
      <c r="N19">
        <v>56.6666666666667</v>
      </c>
      <c r="O19">
        <v>56.6666666666667</v>
      </c>
      <c r="P19">
        <v>53.3333333333333</v>
      </c>
      <c r="Q19">
        <v>53.3333333333333</v>
      </c>
      <c r="R19">
        <v>60</v>
      </c>
      <c r="S19">
        <v>60</v>
      </c>
      <c r="T19">
        <v>72.177419354838705</v>
      </c>
      <c r="U19">
        <v>88.245967741935502</v>
      </c>
      <c r="V19">
        <v>72.379032258064498</v>
      </c>
      <c r="Y19">
        <v>63.3333333333333</v>
      </c>
      <c r="Z19">
        <v>63.3333333333333</v>
      </c>
      <c r="AA19">
        <v>26.6666666666667</v>
      </c>
      <c r="AB19">
        <v>26.6666666666667</v>
      </c>
      <c r="AC19">
        <v>63.3333333333333</v>
      </c>
      <c r="AD19">
        <v>63.3333333333333</v>
      </c>
      <c r="AE19">
        <v>94.435483870967701</v>
      </c>
      <c r="AF19">
        <v>79.153225806451601</v>
      </c>
      <c r="AG19">
        <v>94.435483870967701</v>
      </c>
      <c r="AJ19">
        <v>20</v>
      </c>
      <c r="AK19">
        <v>20</v>
      </c>
      <c r="AL19">
        <v>53.3333333333333</v>
      </c>
      <c r="AM19">
        <v>53.3333333333333</v>
      </c>
      <c r="AN19">
        <v>30</v>
      </c>
      <c r="AO19">
        <v>30</v>
      </c>
      <c r="AP19">
        <v>41.129032258064498</v>
      </c>
      <c r="AQ19">
        <v>51.854838709677402</v>
      </c>
      <c r="AR19">
        <v>40.3427419354839</v>
      </c>
    </row>
    <row r="20" spans="1:44" x14ac:dyDescent="0.45">
      <c r="C20">
        <v>40</v>
      </c>
      <c r="D20">
        <v>40</v>
      </c>
      <c r="E20">
        <v>66.6666666666667</v>
      </c>
      <c r="F20">
        <v>66.6666666666667</v>
      </c>
      <c r="G20">
        <v>86.6666666666667</v>
      </c>
      <c r="H20">
        <v>86.6666666666667</v>
      </c>
      <c r="I20">
        <v>87.540322580645196</v>
      </c>
      <c r="J20">
        <v>94.0322580645161</v>
      </c>
      <c r="K20">
        <v>94.193548387096797</v>
      </c>
      <c r="N20">
        <v>60</v>
      </c>
      <c r="O20">
        <v>60</v>
      </c>
      <c r="P20">
        <v>30</v>
      </c>
      <c r="Q20">
        <v>30</v>
      </c>
      <c r="R20">
        <v>86.6666666666667</v>
      </c>
      <c r="S20">
        <v>86.6666666666667</v>
      </c>
      <c r="T20">
        <v>98.306451612903203</v>
      </c>
      <c r="U20">
        <v>91.229838709677395</v>
      </c>
      <c r="V20">
        <v>99.274193548387103</v>
      </c>
      <c r="Y20">
        <v>56.6666666666667</v>
      </c>
      <c r="Z20">
        <v>56.6666666666667</v>
      </c>
      <c r="AA20">
        <v>30</v>
      </c>
      <c r="AB20">
        <v>30</v>
      </c>
      <c r="AC20">
        <v>80</v>
      </c>
      <c r="AD20">
        <v>80</v>
      </c>
      <c r="AE20">
        <v>55.866935483871003</v>
      </c>
      <c r="AF20">
        <v>55.201612903225801</v>
      </c>
      <c r="AG20">
        <v>53.4677419354839</v>
      </c>
      <c r="AJ20">
        <v>33.3333333333333</v>
      </c>
      <c r="AK20">
        <v>33.3333333333333</v>
      </c>
      <c r="AL20">
        <v>56.6666666666667</v>
      </c>
      <c r="AM20">
        <v>56.6666666666667</v>
      </c>
      <c r="AN20">
        <v>80</v>
      </c>
      <c r="AO20">
        <v>80</v>
      </c>
      <c r="AP20">
        <v>86.895161290322605</v>
      </c>
      <c r="AQ20">
        <v>55.705645161290299</v>
      </c>
      <c r="AR20">
        <v>94.677419354838705</v>
      </c>
    </row>
    <row r="21" spans="1:44" x14ac:dyDescent="0.45">
      <c r="C21">
        <v>46.6666666666667</v>
      </c>
      <c r="D21">
        <v>46.6666666666667</v>
      </c>
      <c r="E21">
        <v>33.3333333333333</v>
      </c>
      <c r="F21">
        <v>33.3333333333333</v>
      </c>
      <c r="G21">
        <v>66.6666666666667</v>
      </c>
      <c r="H21">
        <v>66.6666666666667</v>
      </c>
      <c r="I21">
        <v>86.955645161290306</v>
      </c>
      <c r="J21">
        <v>87.822580645161295</v>
      </c>
      <c r="K21">
        <v>94.516129032258107</v>
      </c>
      <c r="N21">
        <v>46.6666666666667</v>
      </c>
      <c r="O21">
        <v>46.6666666666667</v>
      </c>
      <c r="P21">
        <v>66.6666666666667</v>
      </c>
      <c r="Q21">
        <v>66.6666666666667</v>
      </c>
      <c r="R21">
        <v>86.6666666666667</v>
      </c>
      <c r="S21">
        <v>86.6666666666667</v>
      </c>
      <c r="T21">
        <v>42.177419354838698</v>
      </c>
      <c r="U21">
        <v>88.870967741935502</v>
      </c>
      <c r="V21">
        <v>94.758064516128997</v>
      </c>
      <c r="Y21">
        <v>66.6666666666667</v>
      </c>
      <c r="Z21">
        <v>66.6666666666667</v>
      </c>
      <c r="AA21">
        <v>50</v>
      </c>
      <c r="AB21">
        <v>50</v>
      </c>
      <c r="AC21">
        <v>76.6666666666667</v>
      </c>
      <c r="AD21">
        <v>76.6666666666667</v>
      </c>
      <c r="AE21">
        <v>69.435483870967701</v>
      </c>
      <c r="AF21">
        <v>52.620967741935502</v>
      </c>
      <c r="AG21">
        <v>94.596774193548399</v>
      </c>
      <c r="AJ21">
        <v>50</v>
      </c>
      <c r="AK21">
        <v>50</v>
      </c>
      <c r="AL21">
        <v>30</v>
      </c>
      <c r="AM21">
        <v>30</v>
      </c>
      <c r="AN21">
        <v>66.6666666666667</v>
      </c>
      <c r="AO21">
        <v>66.6666666666667</v>
      </c>
      <c r="AP21">
        <v>47.338709677419402</v>
      </c>
      <c r="AQ21">
        <v>68.75</v>
      </c>
      <c r="AR21">
        <v>57.822580645161302</v>
      </c>
    </row>
    <row r="22" spans="1:44" x14ac:dyDescent="0.45">
      <c r="C22">
        <v>70</v>
      </c>
      <c r="D22">
        <v>70</v>
      </c>
      <c r="E22">
        <v>63.3333333333333</v>
      </c>
      <c r="F22">
        <v>63.3333333333333</v>
      </c>
      <c r="G22">
        <v>93.3333333333333</v>
      </c>
      <c r="H22">
        <v>93.3333333333333</v>
      </c>
      <c r="I22">
        <v>57.963709677419402</v>
      </c>
      <c r="J22">
        <v>84.576612903225794</v>
      </c>
      <c r="K22">
        <v>99.919354838709694</v>
      </c>
      <c r="N22">
        <v>33.3333333333333</v>
      </c>
      <c r="O22">
        <v>33.3333333333333</v>
      </c>
      <c r="P22">
        <v>46.6666666666667</v>
      </c>
      <c r="Q22">
        <v>46.6666666666667</v>
      </c>
      <c r="R22">
        <v>86.6666666666667</v>
      </c>
      <c r="S22">
        <v>86.6666666666667</v>
      </c>
      <c r="T22">
        <v>97.338709677419402</v>
      </c>
      <c r="U22">
        <v>49.354838709677402</v>
      </c>
      <c r="V22">
        <v>99.274193548387103</v>
      </c>
      <c r="Y22">
        <v>56.6666666666667</v>
      </c>
      <c r="Z22">
        <v>56.6666666666667</v>
      </c>
      <c r="AA22">
        <v>60</v>
      </c>
      <c r="AB22">
        <v>60</v>
      </c>
      <c r="AC22">
        <v>83.3333333333333</v>
      </c>
      <c r="AD22">
        <v>83.3333333333333</v>
      </c>
      <c r="AE22">
        <v>41.270161290322598</v>
      </c>
      <c r="AF22">
        <v>55.887096774193601</v>
      </c>
      <c r="AG22">
        <v>99.193548387096797</v>
      </c>
      <c r="AJ22">
        <v>63.3333333333333</v>
      </c>
      <c r="AK22">
        <v>63.3333333333333</v>
      </c>
      <c r="AL22">
        <v>20</v>
      </c>
      <c r="AM22">
        <v>20</v>
      </c>
      <c r="AN22">
        <v>93.3333333333333</v>
      </c>
      <c r="AO22">
        <v>93.3333333333333</v>
      </c>
      <c r="AP22">
        <v>48.6088709677419</v>
      </c>
      <c r="AQ22">
        <v>48.951612903225801</v>
      </c>
      <c r="AR22">
        <v>99.919354838709694</v>
      </c>
    </row>
    <row r="23" spans="1:44" x14ac:dyDescent="0.45">
      <c r="C23">
        <v>30</v>
      </c>
      <c r="D23">
        <v>30</v>
      </c>
      <c r="E23">
        <v>26.6666666666667</v>
      </c>
      <c r="F23">
        <v>26.6666666666667</v>
      </c>
      <c r="G23">
        <v>30</v>
      </c>
      <c r="H23">
        <v>30</v>
      </c>
      <c r="I23">
        <v>49.536290322580598</v>
      </c>
      <c r="J23">
        <v>55.383064516128997</v>
      </c>
      <c r="K23">
        <v>48.326612903225801</v>
      </c>
      <c r="N23">
        <v>86.6666666666667</v>
      </c>
      <c r="O23">
        <v>86.6666666666667</v>
      </c>
      <c r="P23">
        <v>66.6666666666667</v>
      </c>
      <c r="Q23">
        <v>66.6666666666667</v>
      </c>
      <c r="R23">
        <v>76.6666666666667</v>
      </c>
      <c r="S23">
        <v>76.6666666666667</v>
      </c>
      <c r="T23">
        <v>94.193548387096797</v>
      </c>
      <c r="U23">
        <v>93.487903225806406</v>
      </c>
      <c r="V23">
        <v>93.4677419354839</v>
      </c>
      <c r="Y23">
        <v>70</v>
      </c>
      <c r="Z23">
        <v>70</v>
      </c>
      <c r="AA23">
        <v>60</v>
      </c>
      <c r="AB23">
        <v>60</v>
      </c>
      <c r="AC23">
        <v>86.6666666666667</v>
      </c>
      <c r="AD23">
        <v>86.6666666666667</v>
      </c>
      <c r="AE23">
        <v>57.258064516128997</v>
      </c>
      <c r="AF23">
        <v>52.741935483871003</v>
      </c>
      <c r="AG23">
        <v>58.629032258064498</v>
      </c>
      <c r="AJ23">
        <v>43.3333333333333</v>
      </c>
      <c r="AK23">
        <v>43.3333333333333</v>
      </c>
      <c r="AL23">
        <v>66.6666666666667</v>
      </c>
      <c r="AM23">
        <v>66.6666666666667</v>
      </c>
      <c r="AN23">
        <v>93.3333333333333</v>
      </c>
      <c r="AO23">
        <v>93.3333333333333</v>
      </c>
      <c r="AP23">
        <v>46.008064516128997</v>
      </c>
      <c r="AQ23">
        <v>93.951612903225794</v>
      </c>
      <c r="AR23">
        <v>99.919354838709694</v>
      </c>
    </row>
    <row r="24" spans="1:44" x14ac:dyDescent="0.45">
      <c r="C24">
        <v>46.6666666666667</v>
      </c>
      <c r="D24">
        <v>46.6666666666667</v>
      </c>
      <c r="E24">
        <v>66.6666666666667</v>
      </c>
      <c r="F24">
        <v>66.6666666666667</v>
      </c>
      <c r="G24">
        <v>53.3333333333333</v>
      </c>
      <c r="H24">
        <v>53.3333333333333</v>
      </c>
      <c r="I24">
        <v>52.177419354838698</v>
      </c>
      <c r="J24">
        <v>94.435483870967701</v>
      </c>
      <c r="K24">
        <v>88.548387096774206</v>
      </c>
      <c r="N24">
        <v>50</v>
      </c>
      <c r="O24">
        <v>50</v>
      </c>
      <c r="P24">
        <v>53.3333333333333</v>
      </c>
      <c r="Q24">
        <v>53.3333333333333</v>
      </c>
      <c r="R24">
        <v>66.6666666666667</v>
      </c>
      <c r="S24">
        <v>66.6666666666667</v>
      </c>
      <c r="T24">
        <v>98.205645161290306</v>
      </c>
      <c r="U24">
        <v>98.427419354838705</v>
      </c>
      <c r="V24">
        <v>98.951612903225794</v>
      </c>
      <c r="Y24">
        <v>53.3333333333333</v>
      </c>
      <c r="Z24">
        <v>53.3333333333333</v>
      </c>
      <c r="AA24">
        <v>60</v>
      </c>
      <c r="AB24">
        <v>60</v>
      </c>
      <c r="AC24">
        <v>66.6666666666667</v>
      </c>
      <c r="AD24">
        <v>66.6666666666667</v>
      </c>
      <c r="AE24">
        <v>43.286290322580598</v>
      </c>
      <c r="AF24">
        <v>93.4677419354839</v>
      </c>
      <c r="AG24">
        <v>56.612903225806399</v>
      </c>
      <c r="AJ24">
        <v>40</v>
      </c>
      <c r="AK24">
        <v>40</v>
      </c>
      <c r="AL24">
        <v>60</v>
      </c>
      <c r="AM24">
        <v>60</v>
      </c>
      <c r="AN24">
        <v>66.6666666666667</v>
      </c>
      <c r="AO24">
        <v>66.6666666666667</v>
      </c>
      <c r="AP24">
        <v>57.116935483871003</v>
      </c>
      <c r="AQ24">
        <v>93.75</v>
      </c>
      <c r="AR24">
        <v>95.544354838709694</v>
      </c>
    </row>
    <row r="25" spans="1:44" x14ac:dyDescent="0.45">
      <c r="C25">
        <v>43.3333333333333</v>
      </c>
      <c r="D25">
        <v>43.3333333333333</v>
      </c>
      <c r="E25">
        <v>30</v>
      </c>
      <c r="F25">
        <v>30</v>
      </c>
      <c r="G25">
        <v>70</v>
      </c>
      <c r="H25">
        <v>70</v>
      </c>
      <c r="I25">
        <v>91.713709677419402</v>
      </c>
      <c r="J25">
        <v>49.274193548387103</v>
      </c>
      <c r="K25">
        <v>93.447580645161295</v>
      </c>
      <c r="N25">
        <v>56.6666666666667</v>
      </c>
      <c r="O25">
        <v>56.6666666666667</v>
      </c>
      <c r="P25">
        <v>76.6666666666667</v>
      </c>
      <c r="Q25">
        <v>76.6666666666667</v>
      </c>
      <c r="R25">
        <v>86.6666666666667</v>
      </c>
      <c r="S25">
        <v>86.6666666666667</v>
      </c>
      <c r="T25">
        <v>93.366935483871003</v>
      </c>
      <c r="U25">
        <v>94.596774193548399</v>
      </c>
      <c r="V25">
        <v>99.274193548387103</v>
      </c>
      <c r="Y25">
        <v>40</v>
      </c>
      <c r="Z25">
        <v>40</v>
      </c>
      <c r="AA25">
        <v>33.3333333333333</v>
      </c>
      <c r="AB25">
        <v>33.3333333333333</v>
      </c>
      <c r="AC25">
        <v>80</v>
      </c>
      <c r="AD25">
        <v>80</v>
      </c>
      <c r="AE25">
        <v>90.887096774193594</v>
      </c>
      <c r="AF25">
        <v>35.262096774193601</v>
      </c>
      <c r="AG25">
        <v>94.193548387096797</v>
      </c>
      <c r="AJ25">
        <v>23.3333333333333</v>
      </c>
      <c r="AK25">
        <v>23.3333333333333</v>
      </c>
      <c r="AL25">
        <v>53.3333333333333</v>
      </c>
      <c r="AM25">
        <v>53.3333333333333</v>
      </c>
      <c r="AN25">
        <v>63.3333333333333</v>
      </c>
      <c r="AO25">
        <v>63.3333333333333</v>
      </c>
      <c r="AP25">
        <v>85.725806451612897</v>
      </c>
      <c r="AQ25">
        <v>54.778225806451601</v>
      </c>
      <c r="AR25">
        <v>93.850806451612897</v>
      </c>
    </row>
    <row r="26" spans="1:44" x14ac:dyDescent="0.45">
      <c r="C26">
        <v>36.6666666666667</v>
      </c>
      <c r="D26">
        <v>36.6666666666667</v>
      </c>
      <c r="E26">
        <v>33.3333333333333</v>
      </c>
      <c r="F26">
        <v>33.3333333333333</v>
      </c>
      <c r="G26">
        <v>43.3333333333333</v>
      </c>
      <c r="H26">
        <v>43.3333333333333</v>
      </c>
      <c r="I26">
        <v>43.689516129032299</v>
      </c>
      <c r="J26">
        <v>92.983870967741893</v>
      </c>
      <c r="K26">
        <v>54.133064516128997</v>
      </c>
      <c r="N26">
        <v>53.3333333333333</v>
      </c>
      <c r="O26">
        <v>53.3333333333333</v>
      </c>
      <c r="P26">
        <v>50</v>
      </c>
      <c r="Q26">
        <v>50</v>
      </c>
      <c r="R26">
        <v>46.6666666666667</v>
      </c>
      <c r="S26">
        <v>46.6666666666667</v>
      </c>
      <c r="T26">
        <v>70.060483870967701</v>
      </c>
      <c r="U26">
        <v>52.076612903225801</v>
      </c>
      <c r="V26">
        <v>80.524193548387103</v>
      </c>
      <c r="Y26">
        <v>70</v>
      </c>
      <c r="Z26">
        <v>70</v>
      </c>
      <c r="AA26">
        <v>60</v>
      </c>
      <c r="AB26">
        <v>60</v>
      </c>
      <c r="AC26">
        <v>86.6666666666667</v>
      </c>
      <c r="AD26">
        <v>86.6666666666667</v>
      </c>
      <c r="AE26">
        <v>98.689516129032299</v>
      </c>
      <c r="AF26">
        <v>68.951612903225794</v>
      </c>
      <c r="AG26">
        <v>99.274193548387103</v>
      </c>
      <c r="AJ26">
        <v>56.6666666666667</v>
      </c>
      <c r="AK26">
        <v>56.6666666666667</v>
      </c>
      <c r="AL26">
        <v>40</v>
      </c>
      <c r="AM26">
        <v>40</v>
      </c>
      <c r="AN26">
        <v>66.6666666666667</v>
      </c>
      <c r="AO26">
        <v>66.6666666666667</v>
      </c>
      <c r="AP26">
        <v>56.653225806451601</v>
      </c>
      <c r="AQ26">
        <v>43.588709677419402</v>
      </c>
      <c r="AR26">
        <v>55.403225806451601</v>
      </c>
    </row>
    <row r="27" spans="1:44" x14ac:dyDescent="0.45">
      <c r="C27">
        <v>56.6666666666667</v>
      </c>
      <c r="D27">
        <v>56.6666666666667</v>
      </c>
      <c r="E27">
        <v>43.3333333333333</v>
      </c>
      <c r="F27">
        <v>43.3333333333333</v>
      </c>
      <c r="G27">
        <v>76.6666666666667</v>
      </c>
      <c r="H27">
        <v>76.6666666666667</v>
      </c>
      <c r="I27">
        <v>94.012096774193594</v>
      </c>
      <c r="J27">
        <v>53.629032258064498</v>
      </c>
      <c r="K27">
        <v>94.596774193548399</v>
      </c>
      <c r="N27">
        <v>43.3333333333333</v>
      </c>
      <c r="O27">
        <v>43.3333333333333</v>
      </c>
      <c r="P27">
        <v>56.6666666666667</v>
      </c>
      <c r="Q27">
        <v>56.6666666666667</v>
      </c>
      <c r="R27">
        <v>80</v>
      </c>
      <c r="S27">
        <v>80</v>
      </c>
      <c r="T27">
        <v>88.125</v>
      </c>
      <c r="U27">
        <v>93.366935483871003</v>
      </c>
      <c r="V27">
        <v>94.112903225806406</v>
      </c>
      <c r="Y27">
        <v>43.3333333333333</v>
      </c>
      <c r="Z27">
        <v>43.3333333333333</v>
      </c>
      <c r="AA27">
        <v>60</v>
      </c>
      <c r="AB27">
        <v>60</v>
      </c>
      <c r="AC27">
        <v>86.6666666666667</v>
      </c>
      <c r="AD27">
        <v>86.6666666666667</v>
      </c>
      <c r="AE27">
        <v>92.237903225806406</v>
      </c>
      <c r="AF27">
        <v>92.318548387096797</v>
      </c>
      <c r="AG27">
        <v>99.274193548387103</v>
      </c>
      <c r="AJ27">
        <v>60</v>
      </c>
      <c r="AK27">
        <v>60</v>
      </c>
      <c r="AL27">
        <v>23.3333333333333</v>
      </c>
      <c r="AM27">
        <v>23.3333333333333</v>
      </c>
      <c r="AN27">
        <v>100</v>
      </c>
      <c r="AO27">
        <v>100</v>
      </c>
      <c r="AP27">
        <v>46.370967741935502</v>
      </c>
      <c r="AQ27">
        <v>90.9072580645161</v>
      </c>
      <c r="AR27">
        <v>100</v>
      </c>
    </row>
    <row r="28" spans="1:44" x14ac:dyDescent="0.45">
      <c r="C28">
        <v>63.3333333333333</v>
      </c>
      <c r="D28">
        <v>63.3333333333333</v>
      </c>
      <c r="E28">
        <v>53.3333333333333</v>
      </c>
      <c r="F28">
        <v>53.3333333333333</v>
      </c>
      <c r="G28">
        <v>80</v>
      </c>
      <c r="H28">
        <v>80</v>
      </c>
      <c r="I28">
        <v>94.0927419354839</v>
      </c>
      <c r="J28">
        <v>97.096774193548399</v>
      </c>
      <c r="K28">
        <v>94.758064516128997</v>
      </c>
      <c r="N28">
        <v>43.3333333333333</v>
      </c>
      <c r="O28">
        <v>43.3333333333333</v>
      </c>
      <c r="P28">
        <v>36.6666666666667</v>
      </c>
      <c r="Q28">
        <v>36.6666666666667</v>
      </c>
      <c r="R28">
        <v>70</v>
      </c>
      <c r="S28">
        <v>70</v>
      </c>
      <c r="T28">
        <v>51.290322580645203</v>
      </c>
      <c r="U28">
        <v>61.088709677419402</v>
      </c>
      <c r="V28">
        <v>57.258064516128997</v>
      </c>
      <c r="Y28">
        <v>56.6666666666667</v>
      </c>
      <c r="Z28">
        <v>56.6666666666667</v>
      </c>
      <c r="AA28">
        <v>100</v>
      </c>
      <c r="AB28">
        <v>100</v>
      </c>
      <c r="AC28">
        <v>86.6666666666667</v>
      </c>
      <c r="AD28">
        <v>86.6666666666667</v>
      </c>
      <c r="AE28">
        <v>46.612903225806399</v>
      </c>
      <c r="AF28">
        <v>100</v>
      </c>
      <c r="AG28">
        <v>99.274193548387103</v>
      </c>
      <c r="AJ28">
        <v>36.6666666666667</v>
      </c>
      <c r="AK28">
        <v>36.6666666666667</v>
      </c>
      <c r="AL28">
        <v>66.6666666666667</v>
      </c>
      <c r="AM28">
        <v>66.6666666666667</v>
      </c>
      <c r="AN28">
        <v>60</v>
      </c>
      <c r="AO28">
        <v>60</v>
      </c>
      <c r="AP28">
        <v>48.326612903225801</v>
      </c>
      <c r="AQ28">
        <v>96.108870967741893</v>
      </c>
      <c r="AR28">
        <v>56.673387096774199</v>
      </c>
    </row>
    <row r="29" spans="1:44" s="1" customFormat="1" x14ac:dyDescent="0.45">
      <c r="B29" s="1" t="s">
        <v>20</v>
      </c>
      <c r="C29" s="1">
        <f>AVERAGE(C19:C28)</f>
        <v>49.000000000000014</v>
      </c>
      <c r="D29" s="1">
        <f t="shared" ref="D29" si="29">AVERAGE(D19:D28)</f>
        <v>49.000000000000014</v>
      </c>
      <c r="E29" s="1">
        <f t="shared" ref="E29" si="30">AVERAGE(E19:E28)</f>
        <v>42.999999999999993</v>
      </c>
      <c r="F29" s="1">
        <f t="shared" ref="F29" si="31">AVERAGE(F19:F28)</f>
        <v>42.999999999999993</v>
      </c>
      <c r="G29" s="1">
        <f t="shared" ref="G29" si="32">AVERAGE(G19:G28)</f>
        <v>67.333333333333343</v>
      </c>
      <c r="H29" s="1">
        <f t="shared" ref="H29" si="33">AVERAGE(H19:H28)</f>
        <v>67.333333333333343</v>
      </c>
      <c r="I29" s="1">
        <f t="shared" ref="I29" si="34">AVERAGE(I19:I28)</f>
        <v>70.163306451612925</v>
      </c>
      <c r="J29" s="1">
        <f t="shared" ref="J29:K29" si="35">AVERAGE(J19:J28)</f>
        <v>78.693548387096754</v>
      </c>
      <c r="K29" s="1">
        <f t="shared" si="35"/>
        <v>85.647177419354847</v>
      </c>
      <c r="M29" s="1" t="s">
        <v>20</v>
      </c>
      <c r="N29" s="1">
        <f t="shared" ref="N29" si="36">AVERAGE(N19:N28)</f>
        <v>53</v>
      </c>
      <c r="O29" s="1">
        <f t="shared" ref="O29" si="37">AVERAGE(O19:O28)</f>
        <v>53</v>
      </c>
      <c r="P29" s="1">
        <f t="shared" ref="P29" si="38">AVERAGE(P19:P28)</f>
        <v>53.666666666666671</v>
      </c>
      <c r="Q29" s="1">
        <f t="shared" ref="Q29" si="39">AVERAGE(Q19:Q28)</f>
        <v>53.666666666666671</v>
      </c>
      <c r="R29" s="1">
        <f t="shared" ref="R29" si="40">AVERAGE(R19:R28)</f>
        <v>74.666666666666686</v>
      </c>
      <c r="S29" s="1">
        <f t="shared" ref="S29" si="41">AVERAGE(S19:S28)</f>
        <v>74.666666666666686</v>
      </c>
      <c r="T29" s="1">
        <f t="shared" ref="T29" si="42">AVERAGE(T19:T28)</f>
        <v>80.524193548387103</v>
      </c>
      <c r="U29" s="1">
        <f t="shared" ref="U29:V29" si="43">AVERAGE(U19:U28)</f>
        <v>81.074596774193552</v>
      </c>
      <c r="V29" s="1">
        <f t="shared" si="43"/>
        <v>88.92741935483869</v>
      </c>
      <c r="X29" s="1" t="s">
        <v>20</v>
      </c>
      <c r="Y29" s="1">
        <f t="shared" ref="Y29" si="44">AVERAGE(Y19:Y28)</f>
        <v>57.666666666666671</v>
      </c>
      <c r="Z29" s="1">
        <f t="shared" ref="Z29" si="45">AVERAGE(Z19:Z28)</f>
        <v>57.666666666666671</v>
      </c>
      <c r="AA29" s="1">
        <f t="shared" ref="AA29" si="46">AVERAGE(AA19:AA28)</f>
        <v>54</v>
      </c>
      <c r="AB29" s="1">
        <f t="shared" ref="AB29" si="47">AVERAGE(AB19:AB28)</f>
        <v>54</v>
      </c>
      <c r="AC29" s="1">
        <f t="shared" ref="AC29" si="48">AVERAGE(AC19:AC28)</f>
        <v>79.6666666666667</v>
      </c>
      <c r="AD29" s="1">
        <f t="shared" ref="AD29" si="49">AVERAGE(AD19:AD28)</f>
        <v>79.6666666666667</v>
      </c>
      <c r="AE29" s="1">
        <f t="shared" ref="AE29" si="50">AVERAGE(AE19:AE28)</f>
        <v>68.99798387096773</v>
      </c>
      <c r="AF29" s="1">
        <f t="shared" ref="AF29:AG29" si="51">AVERAGE(AF19:AF28)</f>
        <v>68.560483870967772</v>
      </c>
      <c r="AG29" s="1">
        <f t="shared" si="51"/>
        <v>84.895161290322577</v>
      </c>
      <c r="AI29" s="1" t="s">
        <v>20</v>
      </c>
      <c r="AJ29" s="1">
        <f t="shared" ref="AJ29" si="52">AVERAGE(AJ19:AJ28)</f>
        <v>42.666666666666657</v>
      </c>
      <c r="AK29" s="1">
        <f t="shared" ref="AK29" si="53">AVERAGE(AK19:AK28)</f>
        <v>42.666666666666657</v>
      </c>
      <c r="AL29" s="1">
        <f t="shared" ref="AL29" si="54">AVERAGE(AL19:AL28)</f>
        <v>47</v>
      </c>
      <c r="AM29" s="1">
        <f t="shared" ref="AM29" si="55">AVERAGE(AM19:AM28)</f>
        <v>47</v>
      </c>
      <c r="AN29" s="1">
        <f t="shared" ref="AN29" si="56">AVERAGE(AN19:AN28)</f>
        <v>72</v>
      </c>
      <c r="AO29" s="1">
        <f t="shared" ref="AO29" si="57">AVERAGE(AO19:AO28)</f>
        <v>72</v>
      </c>
      <c r="AP29" s="1">
        <f t="shared" ref="AP29" si="58">AVERAGE(AP19:AP28)</f>
        <v>56.417338709677423</v>
      </c>
      <c r="AQ29" s="1">
        <f t="shared" ref="AQ29:AR29" si="59">AVERAGE(AQ19:AQ28)</f>
        <v>69.834677419354833</v>
      </c>
      <c r="AR29" s="1">
        <f t="shared" si="59"/>
        <v>79.415322580645167</v>
      </c>
    </row>
    <row r="30" spans="1:44" x14ac:dyDescent="0.45">
      <c r="B30" s="1" t="s">
        <v>40</v>
      </c>
      <c r="C30" s="1">
        <f>_xlfn.STDEV.S(C19:C28)</f>
        <v>12.477139589893143</v>
      </c>
      <c r="D30" s="1">
        <f t="shared" ref="D30:K30" si="60">_xlfn.STDEV.S(D19:D28)</f>
        <v>12.477139589893143</v>
      </c>
      <c r="E30" s="1">
        <f t="shared" si="60"/>
        <v>18.688479319068726</v>
      </c>
      <c r="F30" s="1">
        <f t="shared" si="60"/>
        <v>18.688479319068726</v>
      </c>
      <c r="G30" s="1">
        <f t="shared" si="60"/>
        <v>19.739038214402175</v>
      </c>
      <c r="H30" s="1">
        <f t="shared" si="60"/>
        <v>19.739038214402175</v>
      </c>
      <c r="I30" s="1">
        <f t="shared" si="60"/>
        <v>22.299617420056251</v>
      </c>
      <c r="J30" s="1">
        <f t="shared" si="60"/>
        <v>18.80312405240036</v>
      </c>
      <c r="K30" s="1">
        <f t="shared" si="60"/>
        <v>18.390921936934653</v>
      </c>
      <c r="M30" s="1" t="s">
        <v>40</v>
      </c>
      <c r="N30" s="1">
        <f>_xlfn.STDEV.S(N19:N28)</f>
        <v>14.268154993326261</v>
      </c>
      <c r="O30" s="1">
        <f t="shared" ref="O30:V30" si="61">_xlfn.STDEV.S(O19:O28)</f>
        <v>14.268154993326261</v>
      </c>
      <c r="P30" s="1">
        <f t="shared" si="61"/>
        <v>14.094040418157</v>
      </c>
      <c r="Q30" s="1">
        <f t="shared" si="61"/>
        <v>14.094040418157</v>
      </c>
      <c r="R30" s="1">
        <f t="shared" si="61"/>
        <v>13.716710544009755</v>
      </c>
      <c r="S30" s="1">
        <f t="shared" si="61"/>
        <v>13.716710544009755</v>
      </c>
      <c r="T30" s="1">
        <f t="shared" si="61"/>
        <v>20.616557771121226</v>
      </c>
      <c r="U30" s="1">
        <f t="shared" si="61"/>
        <v>19.005742423395571</v>
      </c>
      <c r="V30" s="1">
        <f t="shared" si="61"/>
        <v>14.339391027673251</v>
      </c>
      <c r="X30" s="1" t="s">
        <v>40</v>
      </c>
      <c r="Y30" s="1">
        <f>_xlfn.STDEV.S(Y19:Y28)</f>
        <v>10.310009519699582</v>
      </c>
      <c r="Z30" s="1">
        <f t="shared" ref="Z30:AG30" si="62">_xlfn.STDEV.S(Z19:Z28)</f>
        <v>10.310009519699582</v>
      </c>
      <c r="AA30" s="1">
        <f t="shared" si="62"/>
        <v>21.245188271497096</v>
      </c>
      <c r="AB30" s="1">
        <f t="shared" si="62"/>
        <v>21.245188271497096</v>
      </c>
      <c r="AC30" s="1">
        <f t="shared" si="62"/>
        <v>8.5273706019331019</v>
      </c>
      <c r="AD30" s="1">
        <f t="shared" si="62"/>
        <v>8.5273706019331019</v>
      </c>
      <c r="AE30" s="1">
        <f t="shared" si="62"/>
        <v>23.068346084152083</v>
      </c>
      <c r="AF30" s="1">
        <f t="shared" si="62"/>
        <v>21.699387796512536</v>
      </c>
      <c r="AG30" s="1">
        <f t="shared" si="62"/>
        <v>19.927064156136087</v>
      </c>
      <c r="AI30" s="1" t="s">
        <v>40</v>
      </c>
      <c r="AJ30" s="1">
        <f>_xlfn.STDEV.S(AJ19:AJ28)</f>
        <v>14.890547171334193</v>
      </c>
      <c r="AK30" s="1">
        <f t="shared" ref="AK30:AR30" si="63">_xlfn.STDEV.S(AK19:AK28)</f>
        <v>14.890547171334193</v>
      </c>
      <c r="AL30" s="1">
        <f t="shared" si="63"/>
        <v>17.458946555127977</v>
      </c>
      <c r="AM30" s="1">
        <f t="shared" si="63"/>
        <v>17.458946555127977</v>
      </c>
      <c r="AN30" s="1">
        <f t="shared" si="63"/>
        <v>20.620019039399207</v>
      </c>
      <c r="AO30" s="1">
        <f t="shared" si="63"/>
        <v>20.620019039399207</v>
      </c>
      <c r="AP30" s="1">
        <f t="shared" si="63"/>
        <v>16.466455530630267</v>
      </c>
      <c r="AQ30" s="1">
        <f t="shared" si="63"/>
        <v>21.508878663062646</v>
      </c>
      <c r="AR30" s="1">
        <f t="shared" si="63"/>
        <v>23.694137999524788</v>
      </c>
    </row>
    <row r="33" spans="1:44" x14ac:dyDescent="0.45">
      <c r="A33" t="s">
        <v>14</v>
      </c>
      <c r="C33">
        <v>56.6666666666667</v>
      </c>
      <c r="D33">
        <v>56.6666666666667</v>
      </c>
      <c r="E33">
        <v>83.3333333333333</v>
      </c>
      <c r="F33">
        <v>83.3333333333333</v>
      </c>
      <c r="G33">
        <v>93.3333333333333</v>
      </c>
      <c r="H33">
        <v>93.3333333333333</v>
      </c>
      <c r="I33">
        <v>66.129032258064498</v>
      </c>
      <c r="J33">
        <v>99.334677419354804</v>
      </c>
      <c r="K33">
        <v>99.919354838709694</v>
      </c>
      <c r="N33">
        <v>56.6666666666667</v>
      </c>
      <c r="O33">
        <v>56.6666666666667</v>
      </c>
      <c r="P33">
        <v>100</v>
      </c>
      <c r="Q33">
        <v>100</v>
      </c>
      <c r="R33">
        <v>80</v>
      </c>
      <c r="S33">
        <v>80</v>
      </c>
      <c r="T33">
        <v>57.963709677419402</v>
      </c>
      <c r="U33">
        <v>100</v>
      </c>
      <c r="V33">
        <v>89.677419354838705</v>
      </c>
      <c r="Y33">
        <v>30</v>
      </c>
      <c r="Z33">
        <v>30</v>
      </c>
      <c r="AA33">
        <v>80</v>
      </c>
      <c r="AB33">
        <v>80</v>
      </c>
      <c r="AC33">
        <v>43.3333333333333</v>
      </c>
      <c r="AD33">
        <v>43.3333333333333</v>
      </c>
      <c r="AE33">
        <v>68.326612903225794</v>
      </c>
      <c r="AF33">
        <v>94.677419354838705</v>
      </c>
      <c r="AG33">
        <v>90.846774193548399</v>
      </c>
      <c r="AJ33">
        <v>36.6666666666667</v>
      </c>
      <c r="AK33">
        <v>36.6666666666667</v>
      </c>
      <c r="AL33">
        <v>83.3333333333333</v>
      </c>
      <c r="AM33">
        <v>83.3333333333333</v>
      </c>
      <c r="AN33">
        <v>80</v>
      </c>
      <c r="AO33">
        <v>80</v>
      </c>
      <c r="AP33">
        <v>51.995967741935502</v>
      </c>
      <c r="AQ33">
        <v>57.419354838709701</v>
      </c>
      <c r="AR33">
        <v>94.112903225806406</v>
      </c>
    </row>
    <row r="34" spans="1:44" x14ac:dyDescent="0.45">
      <c r="C34">
        <v>53.3333333333333</v>
      </c>
      <c r="D34">
        <v>53.3333333333333</v>
      </c>
      <c r="E34">
        <v>73.3333333333333</v>
      </c>
      <c r="F34">
        <v>73.3333333333333</v>
      </c>
      <c r="G34">
        <v>93.3333333333333</v>
      </c>
      <c r="H34">
        <v>93.3333333333333</v>
      </c>
      <c r="I34">
        <v>48.568548387096797</v>
      </c>
      <c r="J34">
        <v>98.548387096774206</v>
      </c>
      <c r="K34">
        <v>99.354838709677395</v>
      </c>
      <c r="N34">
        <v>56.6666666666667</v>
      </c>
      <c r="O34">
        <v>56.6666666666667</v>
      </c>
      <c r="P34">
        <v>100</v>
      </c>
      <c r="Q34">
        <v>100</v>
      </c>
      <c r="R34">
        <v>86.6666666666667</v>
      </c>
      <c r="S34">
        <v>86.6666666666667</v>
      </c>
      <c r="T34">
        <v>56.5322580645161</v>
      </c>
      <c r="U34">
        <v>100</v>
      </c>
      <c r="V34">
        <v>58.064516129032299</v>
      </c>
      <c r="Y34">
        <v>66.6666666666667</v>
      </c>
      <c r="Z34">
        <v>66.6666666666667</v>
      </c>
      <c r="AA34">
        <v>73.3333333333333</v>
      </c>
      <c r="AB34">
        <v>73.3333333333333</v>
      </c>
      <c r="AC34">
        <v>63.3333333333333</v>
      </c>
      <c r="AD34">
        <v>63.3333333333333</v>
      </c>
      <c r="AE34">
        <v>42.580645161290299</v>
      </c>
      <c r="AF34">
        <v>89.516129032258107</v>
      </c>
      <c r="AG34">
        <v>41.854838709677402</v>
      </c>
      <c r="AJ34">
        <v>43.3333333333333</v>
      </c>
      <c r="AK34">
        <v>43.3333333333333</v>
      </c>
      <c r="AL34">
        <v>86.6666666666667</v>
      </c>
      <c r="AM34">
        <v>86.6666666666667</v>
      </c>
      <c r="AN34">
        <v>86.6666666666667</v>
      </c>
      <c r="AO34">
        <v>86.6666666666667</v>
      </c>
      <c r="AP34">
        <v>55.241935483871003</v>
      </c>
      <c r="AQ34">
        <v>94.758064516128997</v>
      </c>
      <c r="AR34">
        <v>99.274193548387103</v>
      </c>
    </row>
    <row r="35" spans="1:44" x14ac:dyDescent="0.45">
      <c r="C35">
        <v>43.3333333333333</v>
      </c>
      <c r="D35">
        <v>43.3333333333333</v>
      </c>
      <c r="E35">
        <v>80</v>
      </c>
      <c r="F35">
        <v>80</v>
      </c>
      <c r="G35">
        <v>73.3333333333333</v>
      </c>
      <c r="H35">
        <v>73.3333333333333</v>
      </c>
      <c r="I35">
        <v>51.572580645161302</v>
      </c>
      <c r="J35">
        <v>99.193548387096797</v>
      </c>
      <c r="K35">
        <v>94.112903225806406</v>
      </c>
      <c r="N35">
        <v>33.3333333333333</v>
      </c>
      <c r="O35">
        <v>33.3333333333333</v>
      </c>
      <c r="P35">
        <v>73.3333333333333</v>
      </c>
      <c r="Q35">
        <v>73.3333333333333</v>
      </c>
      <c r="R35">
        <v>86.6666666666667</v>
      </c>
      <c r="S35">
        <v>86.6666666666667</v>
      </c>
      <c r="T35">
        <v>50.685483870967701</v>
      </c>
      <c r="U35">
        <v>52.903225806451601</v>
      </c>
      <c r="V35">
        <v>94.193548387096797</v>
      </c>
      <c r="Y35">
        <v>36.6666666666667</v>
      </c>
      <c r="Z35">
        <v>36.6666666666667</v>
      </c>
      <c r="AA35">
        <v>63.3333333333333</v>
      </c>
      <c r="AB35">
        <v>63.3333333333333</v>
      </c>
      <c r="AC35">
        <v>86.6666666666667</v>
      </c>
      <c r="AD35">
        <v>86.6666666666667</v>
      </c>
      <c r="AE35">
        <v>67.963709677419402</v>
      </c>
      <c r="AF35">
        <v>98.044354838709694</v>
      </c>
      <c r="AG35">
        <v>99.354838709677395</v>
      </c>
      <c r="AJ35">
        <v>56.6666666666667</v>
      </c>
      <c r="AK35">
        <v>56.6666666666667</v>
      </c>
      <c r="AL35">
        <v>33.3333333333333</v>
      </c>
      <c r="AM35">
        <v>33.3333333333333</v>
      </c>
      <c r="AN35">
        <v>100</v>
      </c>
      <c r="AO35">
        <v>100</v>
      </c>
      <c r="AP35">
        <v>52.802419354838698</v>
      </c>
      <c r="AQ35">
        <v>51.875</v>
      </c>
      <c r="AR35">
        <v>100</v>
      </c>
    </row>
    <row r="36" spans="1:44" x14ac:dyDescent="0.45">
      <c r="C36">
        <v>63.3333333333333</v>
      </c>
      <c r="D36">
        <v>63.3333333333333</v>
      </c>
      <c r="E36">
        <v>76.6666666666667</v>
      </c>
      <c r="F36">
        <v>76.6666666666667</v>
      </c>
      <c r="G36">
        <v>63.3333333333333</v>
      </c>
      <c r="H36">
        <v>63.3333333333333</v>
      </c>
      <c r="I36">
        <v>41.612903225806399</v>
      </c>
      <c r="J36">
        <v>98.689516129032299</v>
      </c>
      <c r="K36">
        <v>42.419354838709701</v>
      </c>
      <c r="N36">
        <v>26.6666666666667</v>
      </c>
      <c r="O36">
        <v>26.6666666666667</v>
      </c>
      <c r="P36">
        <v>63.3333333333333</v>
      </c>
      <c r="Q36">
        <v>63.3333333333333</v>
      </c>
      <c r="R36">
        <v>66.6666666666667</v>
      </c>
      <c r="S36">
        <v>66.6666666666667</v>
      </c>
      <c r="T36">
        <v>38.951612903225801</v>
      </c>
      <c r="U36">
        <v>98.387096774193594</v>
      </c>
      <c r="V36">
        <v>92.862903225806406</v>
      </c>
      <c r="Y36">
        <v>33.3333333333333</v>
      </c>
      <c r="Z36">
        <v>33.3333333333333</v>
      </c>
      <c r="AA36">
        <v>86.6666666666667</v>
      </c>
      <c r="AB36">
        <v>86.6666666666667</v>
      </c>
      <c r="AC36">
        <v>93.3333333333333</v>
      </c>
      <c r="AD36">
        <v>93.3333333333333</v>
      </c>
      <c r="AE36">
        <v>49.314516129032299</v>
      </c>
      <c r="AF36">
        <v>99.274193548387103</v>
      </c>
      <c r="AG36">
        <v>94.838709677419402</v>
      </c>
      <c r="AJ36">
        <v>36.6666666666667</v>
      </c>
      <c r="AK36">
        <v>36.6666666666667</v>
      </c>
      <c r="AL36">
        <v>26.6666666666667</v>
      </c>
      <c r="AM36">
        <v>26.6666666666667</v>
      </c>
      <c r="AN36">
        <v>66.6666666666667</v>
      </c>
      <c r="AO36">
        <v>66.6666666666667</v>
      </c>
      <c r="AP36">
        <v>45.080645161290299</v>
      </c>
      <c r="AQ36">
        <v>87.177419354838705</v>
      </c>
      <c r="AR36">
        <v>94.0322580645161</v>
      </c>
    </row>
    <row r="37" spans="1:44" x14ac:dyDescent="0.45">
      <c r="C37">
        <v>63.3333333333333</v>
      </c>
      <c r="D37">
        <v>63.3333333333333</v>
      </c>
      <c r="E37">
        <v>56.6666666666667</v>
      </c>
      <c r="F37">
        <v>56.6666666666667</v>
      </c>
      <c r="G37">
        <v>80</v>
      </c>
      <c r="H37">
        <v>80</v>
      </c>
      <c r="I37">
        <v>47.0161290322581</v>
      </c>
      <c r="J37">
        <v>94.072580645161295</v>
      </c>
      <c r="K37">
        <v>94.112903225806406</v>
      </c>
      <c r="N37">
        <v>40</v>
      </c>
      <c r="O37">
        <v>40</v>
      </c>
      <c r="P37">
        <v>80</v>
      </c>
      <c r="Q37">
        <v>80</v>
      </c>
      <c r="R37">
        <v>70</v>
      </c>
      <c r="S37">
        <v>70</v>
      </c>
      <c r="T37">
        <v>41.5927419354839</v>
      </c>
      <c r="U37">
        <v>94.677419354838705</v>
      </c>
      <c r="V37">
        <v>45.645161290322598</v>
      </c>
      <c r="Y37">
        <v>43.3333333333333</v>
      </c>
      <c r="Z37">
        <v>43.3333333333333</v>
      </c>
      <c r="AA37">
        <v>63.3333333333333</v>
      </c>
      <c r="AB37">
        <v>63.3333333333333</v>
      </c>
      <c r="AC37">
        <v>56.6666666666667</v>
      </c>
      <c r="AD37">
        <v>56.6666666666667</v>
      </c>
      <c r="AE37">
        <v>54.616935483871003</v>
      </c>
      <c r="AF37">
        <v>93.850806451612897</v>
      </c>
      <c r="AG37">
        <v>54.2338709677419</v>
      </c>
      <c r="AJ37">
        <v>43.3333333333333</v>
      </c>
      <c r="AK37">
        <v>43.3333333333333</v>
      </c>
      <c r="AL37">
        <v>63.3333333333333</v>
      </c>
      <c r="AM37">
        <v>63.3333333333333</v>
      </c>
      <c r="AN37">
        <v>80</v>
      </c>
      <c r="AO37">
        <v>80</v>
      </c>
      <c r="AP37">
        <v>53.991935483871003</v>
      </c>
      <c r="AQ37">
        <v>47.580645161290299</v>
      </c>
      <c r="AR37">
        <v>58.629032258064498</v>
      </c>
    </row>
    <row r="38" spans="1:44" x14ac:dyDescent="0.45">
      <c r="C38">
        <v>56.6666666666667</v>
      </c>
      <c r="D38">
        <v>56.6666666666667</v>
      </c>
      <c r="E38">
        <v>60</v>
      </c>
      <c r="F38">
        <v>60</v>
      </c>
      <c r="G38">
        <v>73.3333333333333</v>
      </c>
      <c r="H38">
        <v>73.3333333333333</v>
      </c>
      <c r="I38">
        <v>72.5</v>
      </c>
      <c r="J38">
        <v>42.338709677419402</v>
      </c>
      <c r="K38">
        <v>57.9838709677419</v>
      </c>
      <c r="N38">
        <v>60</v>
      </c>
      <c r="O38">
        <v>60</v>
      </c>
      <c r="P38">
        <v>93.3333333333333</v>
      </c>
      <c r="Q38">
        <v>93.3333333333333</v>
      </c>
      <c r="R38">
        <v>100</v>
      </c>
      <c r="S38">
        <v>100</v>
      </c>
      <c r="T38">
        <v>93.225806451612897</v>
      </c>
      <c r="U38">
        <v>94.838709677419402</v>
      </c>
      <c r="V38">
        <v>100</v>
      </c>
      <c r="Y38">
        <v>40</v>
      </c>
      <c r="Z38">
        <v>40</v>
      </c>
      <c r="AA38">
        <v>63.3333333333333</v>
      </c>
      <c r="AB38">
        <v>63.3333333333333</v>
      </c>
      <c r="AC38">
        <v>86.6666666666667</v>
      </c>
      <c r="AD38">
        <v>86.6666666666667</v>
      </c>
      <c r="AE38">
        <v>48.205645161290299</v>
      </c>
      <c r="AF38">
        <v>92.741935483871003</v>
      </c>
      <c r="AG38">
        <v>94.758064516128997</v>
      </c>
      <c r="AJ38">
        <v>43.3333333333333</v>
      </c>
      <c r="AK38">
        <v>43.3333333333333</v>
      </c>
      <c r="AL38">
        <v>100</v>
      </c>
      <c r="AM38">
        <v>100</v>
      </c>
      <c r="AN38">
        <v>80</v>
      </c>
      <c r="AO38">
        <v>80</v>
      </c>
      <c r="AP38">
        <v>53.366935483871003</v>
      </c>
      <c r="AQ38">
        <v>100</v>
      </c>
      <c r="AR38">
        <v>94.112903225806406</v>
      </c>
    </row>
    <row r="39" spans="1:44" x14ac:dyDescent="0.45">
      <c r="C39">
        <v>53.3333333333333</v>
      </c>
      <c r="D39">
        <v>53.3333333333333</v>
      </c>
      <c r="E39">
        <v>93.3333333333333</v>
      </c>
      <c r="F39">
        <v>93.3333333333333</v>
      </c>
      <c r="G39">
        <v>80</v>
      </c>
      <c r="H39">
        <v>80</v>
      </c>
      <c r="I39">
        <v>68.709677419354804</v>
      </c>
      <c r="J39">
        <v>58.709677419354797</v>
      </c>
      <c r="K39">
        <v>52.258064516128997</v>
      </c>
      <c r="N39">
        <v>40</v>
      </c>
      <c r="O39">
        <v>40</v>
      </c>
      <c r="P39">
        <v>80</v>
      </c>
      <c r="Q39">
        <v>80</v>
      </c>
      <c r="R39">
        <v>73.3333333333333</v>
      </c>
      <c r="S39">
        <v>73.3333333333333</v>
      </c>
      <c r="T39">
        <v>46.370967741935502</v>
      </c>
      <c r="U39">
        <v>94.112903225806406</v>
      </c>
      <c r="V39">
        <v>93.548387096774206</v>
      </c>
      <c r="Y39">
        <v>53.3333333333333</v>
      </c>
      <c r="Z39">
        <v>53.3333333333333</v>
      </c>
      <c r="AA39">
        <v>60</v>
      </c>
      <c r="AB39">
        <v>60</v>
      </c>
      <c r="AC39">
        <v>63.3333333333333</v>
      </c>
      <c r="AD39">
        <v>63.3333333333333</v>
      </c>
      <c r="AE39">
        <v>36.693548387096797</v>
      </c>
      <c r="AF39">
        <v>41.129032258064498</v>
      </c>
      <c r="AG39">
        <v>40.725806451612897</v>
      </c>
      <c r="AJ39">
        <v>46.6666666666667</v>
      </c>
      <c r="AK39">
        <v>46.6666666666667</v>
      </c>
      <c r="AL39">
        <v>53.3333333333333</v>
      </c>
      <c r="AM39">
        <v>53.3333333333333</v>
      </c>
      <c r="AN39">
        <v>80</v>
      </c>
      <c r="AO39">
        <v>80</v>
      </c>
      <c r="AP39">
        <v>51.854838709677402</v>
      </c>
      <c r="AQ39">
        <v>93.306451612903203</v>
      </c>
      <c r="AR39">
        <v>94.112903225806406</v>
      </c>
    </row>
    <row r="40" spans="1:44" x14ac:dyDescent="0.45">
      <c r="C40">
        <v>40</v>
      </c>
      <c r="D40">
        <v>40</v>
      </c>
      <c r="E40">
        <v>63.3333333333333</v>
      </c>
      <c r="F40">
        <v>63.3333333333333</v>
      </c>
      <c r="G40">
        <v>70</v>
      </c>
      <c r="H40">
        <v>70</v>
      </c>
      <c r="I40">
        <v>35.463709677419402</v>
      </c>
      <c r="J40">
        <v>93.447580645161295</v>
      </c>
      <c r="K40">
        <v>46.129032258064498</v>
      </c>
      <c r="N40">
        <v>40</v>
      </c>
      <c r="O40">
        <v>40</v>
      </c>
      <c r="P40">
        <v>76.6666666666667</v>
      </c>
      <c r="Q40">
        <v>76.6666666666667</v>
      </c>
      <c r="R40">
        <v>80</v>
      </c>
      <c r="S40">
        <v>80</v>
      </c>
      <c r="T40">
        <v>51.713709677419402</v>
      </c>
      <c r="U40">
        <v>94.596774193548399</v>
      </c>
      <c r="V40">
        <v>98.709677419354804</v>
      </c>
      <c r="Y40">
        <v>46.6666666666667</v>
      </c>
      <c r="Z40">
        <v>46.6666666666667</v>
      </c>
      <c r="AA40">
        <v>56.6666666666667</v>
      </c>
      <c r="AB40">
        <v>56.6666666666667</v>
      </c>
      <c r="AC40">
        <v>70</v>
      </c>
      <c r="AD40">
        <v>70</v>
      </c>
      <c r="AE40">
        <v>53.004032258064498</v>
      </c>
      <c r="AF40">
        <v>98.004032258064498</v>
      </c>
      <c r="AG40">
        <v>57.399193548387103</v>
      </c>
      <c r="AJ40">
        <v>43.3333333333333</v>
      </c>
      <c r="AK40">
        <v>43.3333333333333</v>
      </c>
      <c r="AL40">
        <v>93.3333333333333</v>
      </c>
      <c r="AM40">
        <v>93.3333333333333</v>
      </c>
      <c r="AN40">
        <v>80</v>
      </c>
      <c r="AO40">
        <v>80</v>
      </c>
      <c r="AP40">
        <v>44.939516129032299</v>
      </c>
      <c r="AQ40">
        <v>99.354838709677395</v>
      </c>
      <c r="AR40">
        <v>98.709677419354804</v>
      </c>
    </row>
    <row r="41" spans="1:44" x14ac:dyDescent="0.45">
      <c r="C41">
        <v>70</v>
      </c>
      <c r="D41">
        <v>70</v>
      </c>
      <c r="E41">
        <v>60</v>
      </c>
      <c r="F41">
        <v>60</v>
      </c>
      <c r="G41">
        <v>83.3333333333333</v>
      </c>
      <c r="H41">
        <v>83.3333333333333</v>
      </c>
      <c r="I41">
        <v>89.435483870967701</v>
      </c>
      <c r="J41">
        <v>84.173387096774206</v>
      </c>
      <c r="K41">
        <v>94.677419354838705</v>
      </c>
      <c r="N41">
        <v>36.6666666666667</v>
      </c>
      <c r="O41">
        <v>36.6666666666667</v>
      </c>
      <c r="P41">
        <v>70</v>
      </c>
      <c r="Q41">
        <v>70</v>
      </c>
      <c r="R41">
        <v>40</v>
      </c>
      <c r="S41">
        <v>40</v>
      </c>
      <c r="T41">
        <v>38.125</v>
      </c>
      <c r="U41">
        <v>89.274193548387103</v>
      </c>
      <c r="V41">
        <v>41.512096774193601</v>
      </c>
      <c r="Y41">
        <v>36.6666666666667</v>
      </c>
      <c r="Z41">
        <v>36.6666666666667</v>
      </c>
      <c r="AA41">
        <v>46.6666666666667</v>
      </c>
      <c r="AB41">
        <v>46.6666666666667</v>
      </c>
      <c r="AC41">
        <v>73.3333333333333</v>
      </c>
      <c r="AD41">
        <v>73.3333333333333</v>
      </c>
      <c r="AE41">
        <v>45.524193548387103</v>
      </c>
      <c r="AF41">
        <v>68.870967741935502</v>
      </c>
      <c r="AG41">
        <v>93.4677419354839</v>
      </c>
      <c r="AJ41">
        <v>56.6666666666667</v>
      </c>
      <c r="AK41">
        <v>56.6666666666667</v>
      </c>
      <c r="AL41">
        <v>66.6666666666667</v>
      </c>
      <c r="AM41">
        <v>66.6666666666667</v>
      </c>
      <c r="AN41">
        <v>80</v>
      </c>
      <c r="AO41">
        <v>80</v>
      </c>
      <c r="AP41">
        <v>55.322580645161302</v>
      </c>
      <c r="AQ41">
        <v>97.741935483871003</v>
      </c>
      <c r="AR41">
        <v>98.629032258064498</v>
      </c>
    </row>
    <row r="42" spans="1:44" x14ac:dyDescent="0.45">
      <c r="C42">
        <v>56.6666666666667</v>
      </c>
      <c r="D42">
        <v>56.6666666666667</v>
      </c>
      <c r="E42">
        <v>56.6666666666667</v>
      </c>
      <c r="F42">
        <v>56.6666666666667</v>
      </c>
      <c r="G42">
        <v>83.3333333333333</v>
      </c>
      <c r="H42">
        <v>83.3333333333333</v>
      </c>
      <c r="I42">
        <v>53.225806451612897</v>
      </c>
      <c r="J42">
        <v>93.870967741935502</v>
      </c>
      <c r="K42">
        <v>94.677419354838705</v>
      </c>
      <c r="N42">
        <v>60</v>
      </c>
      <c r="O42">
        <v>60</v>
      </c>
      <c r="P42">
        <v>60</v>
      </c>
      <c r="Q42">
        <v>60</v>
      </c>
      <c r="R42">
        <v>80</v>
      </c>
      <c r="S42">
        <v>80</v>
      </c>
      <c r="T42">
        <v>93.366935483871003</v>
      </c>
      <c r="U42">
        <v>97.983870967741893</v>
      </c>
      <c r="V42">
        <v>98.629032258064498</v>
      </c>
      <c r="Y42">
        <v>46.6666666666667</v>
      </c>
      <c r="Z42">
        <v>46.6666666666667</v>
      </c>
      <c r="AA42">
        <v>73.3333333333333</v>
      </c>
      <c r="AB42">
        <v>73.3333333333333</v>
      </c>
      <c r="AC42">
        <v>73.3333333333333</v>
      </c>
      <c r="AD42">
        <v>73.3333333333333</v>
      </c>
      <c r="AE42">
        <v>44.596774193548399</v>
      </c>
      <c r="AF42">
        <v>94.274193548387103</v>
      </c>
      <c r="AG42">
        <v>43.870967741935502</v>
      </c>
      <c r="AJ42">
        <v>60</v>
      </c>
      <c r="AK42">
        <v>60</v>
      </c>
      <c r="AL42">
        <v>50</v>
      </c>
      <c r="AM42">
        <v>50</v>
      </c>
      <c r="AN42">
        <v>73.3333333333333</v>
      </c>
      <c r="AO42">
        <v>73.3333333333333</v>
      </c>
      <c r="AP42">
        <v>36.048387096774199</v>
      </c>
      <c r="AQ42">
        <v>55.302419354838698</v>
      </c>
      <c r="AR42">
        <v>55.322580645161302</v>
      </c>
    </row>
    <row r="43" spans="1:44" s="1" customFormat="1" x14ac:dyDescent="0.45">
      <c r="B43" s="1" t="s">
        <v>20</v>
      </c>
      <c r="C43" s="1">
        <f>AVERAGE(C33:C42)</f>
        <v>55.666666666666664</v>
      </c>
      <c r="D43" s="1">
        <f t="shared" ref="D43" si="64">AVERAGE(D33:D42)</f>
        <v>55.666666666666664</v>
      </c>
      <c r="E43" s="1">
        <f t="shared" ref="E43" si="65">AVERAGE(E33:E42)</f>
        <v>70.333333333333329</v>
      </c>
      <c r="F43" s="1">
        <f t="shared" ref="F43" si="66">AVERAGE(F33:F42)</f>
        <v>70.333333333333329</v>
      </c>
      <c r="G43" s="1">
        <f t="shared" ref="G43" si="67">AVERAGE(G33:G42)</f>
        <v>79.3333333333333</v>
      </c>
      <c r="H43" s="1">
        <f t="shared" ref="H43" si="68">AVERAGE(H33:H42)</f>
        <v>79.3333333333333</v>
      </c>
      <c r="I43" s="1">
        <f t="shared" ref="I43" si="69">AVERAGE(I33:I42)</f>
        <v>57.423387096774192</v>
      </c>
      <c r="J43" s="1">
        <f t="shared" ref="J43:K43" si="70">AVERAGE(J33:J42)</f>
        <v>86.237903225806477</v>
      </c>
      <c r="K43" s="1">
        <f t="shared" si="70"/>
        <v>77.564516129032228</v>
      </c>
      <c r="M43" s="1" t="s">
        <v>20</v>
      </c>
      <c r="N43" s="1">
        <f t="shared" ref="N43" si="71">AVERAGE(N33:N42)</f>
        <v>45.000000000000007</v>
      </c>
      <c r="O43" s="1">
        <f t="shared" ref="O43" si="72">AVERAGE(O33:O42)</f>
        <v>45.000000000000007</v>
      </c>
      <c r="P43" s="1">
        <f t="shared" ref="P43" si="73">AVERAGE(P33:P42)</f>
        <v>79.666666666666671</v>
      </c>
      <c r="Q43" s="1">
        <f t="shared" ref="Q43" si="74">AVERAGE(Q33:Q42)</f>
        <v>79.666666666666671</v>
      </c>
      <c r="R43" s="1">
        <f t="shared" ref="R43" si="75">AVERAGE(R33:R42)</f>
        <v>76.333333333333343</v>
      </c>
      <c r="S43" s="1">
        <f t="shared" ref="S43" si="76">AVERAGE(S33:S42)</f>
        <v>76.333333333333343</v>
      </c>
      <c r="T43" s="1">
        <f t="shared" ref="T43" si="77">AVERAGE(T33:T42)</f>
        <v>56.852822580645167</v>
      </c>
      <c r="U43" s="1">
        <f t="shared" ref="U43:V43" si="78">AVERAGE(U33:U42)</f>
        <v>91.677419354838705</v>
      </c>
      <c r="V43" s="1">
        <f t="shared" si="78"/>
        <v>81.284274193548384</v>
      </c>
      <c r="X43" s="1" t="s">
        <v>20</v>
      </c>
      <c r="Y43" s="1">
        <f t="shared" ref="Y43" si="79">AVERAGE(Y33:Y42)</f>
        <v>43.333333333333336</v>
      </c>
      <c r="Z43" s="1">
        <f t="shared" ref="Z43" si="80">AVERAGE(Z33:Z42)</f>
        <v>43.333333333333336</v>
      </c>
      <c r="AA43" s="1">
        <f t="shared" ref="AA43" si="81">AVERAGE(AA33:AA42)</f>
        <v>66.666666666666657</v>
      </c>
      <c r="AB43" s="1">
        <f t="shared" ref="AB43" si="82">AVERAGE(AB33:AB42)</f>
        <v>66.666666666666657</v>
      </c>
      <c r="AC43" s="1">
        <f t="shared" ref="AC43" si="83">AVERAGE(AC33:AC42)</f>
        <v>70.999999999999972</v>
      </c>
      <c r="AD43" s="1">
        <f t="shared" ref="AD43" si="84">AVERAGE(AD33:AD42)</f>
        <v>70.999999999999972</v>
      </c>
      <c r="AE43" s="1">
        <f t="shared" ref="AE43" si="85">AVERAGE(AE33:AE42)</f>
        <v>51.082661290322584</v>
      </c>
      <c r="AF43" s="1">
        <f t="shared" ref="AF43:AG43" si="86">AVERAGE(AF33:AF42)</f>
        <v>87.038306451612911</v>
      </c>
      <c r="AG43" s="1">
        <f t="shared" si="86"/>
        <v>71.135080645161281</v>
      </c>
      <c r="AI43" s="1" t="s">
        <v>20</v>
      </c>
      <c r="AJ43" s="1">
        <f t="shared" ref="AJ43" si="87">AVERAGE(AJ33:AJ42)</f>
        <v>46.666666666666671</v>
      </c>
      <c r="AK43" s="1">
        <f t="shared" ref="AK43" si="88">AVERAGE(AK33:AK42)</f>
        <v>46.666666666666671</v>
      </c>
      <c r="AL43" s="1">
        <f t="shared" ref="AL43" si="89">AVERAGE(AL33:AL42)</f>
        <v>65.666666666666657</v>
      </c>
      <c r="AM43" s="1">
        <f t="shared" ref="AM43" si="90">AVERAGE(AM33:AM42)</f>
        <v>65.666666666666657</v>
      </c>
      <c r="AN43" s="1">
        <f t="shared" ref="AN43" si="91">AVERAGE(AN33:AN42)</f>
        <v>80.666666666666657</v>
      </c>
      <c r="AO43" s="1">
        <f t="shared" ref="AO43" si="92">AVERAGE(AO33:AO42)</f>
        <v>80.666666666666657</v>
      </c>
      <c r="AP43" s="1">
        <f t="shared" ref="AP43" si="93">AVERAGE(AP33:AP42)</f>
        <v>50.06451612903227</v>
      </c>
      <c r="AQ43" s="1">
        <f t="shared" ref="AQ43:AR43" si="94">AVERAGE(AQ33:AQ42)</f>
        <v>78.451612903225794</v>
      </c>
      <c r="AR43" s="1">
        <f t="shared" si="94"/>
        <v>88.69354838709674</v>
      </c>
    </row>
    <row r="44" spans="1:44" x14ac:dyDescent="0.45">
      <c r="B44" s="1" t="s">
        <v>40</v>
      </c>
      <c r="C44" s="1">
        <f>_xlfn.STDEV.S(C33:C42)</f>
        <v>9.0335451663012254</v>
      </c>
      <c r="D44" s="1">
        <f t="shared" ref="D44:K44" si="95">_xlfn.STDEV.S(D33:D42)</f>
        <v>9.0335451663012254</v>
      </c>
      <c r="E44" s="1">
        <f t="shared" si="95"/>
        <v>12.809140255070776</v>
      </c>
      <c r="F44" s="1">
        <f t="shared" si="95"/>
        <v>12.809140255070776</v>
      </c>
      <c r="G44" s="1">
        <f t="shared" si="95"/>
        <v>9.6609178307930001</v>
      </c>
      <c r="H44" s="1">
        <f t="shared" si="95"/>
        <v>9.6609178307930001</v>
      </c>
      <c r="I44" s="1">
        <f t="shared" si="95"/>
        <v>16.418204139284157</v>
      </c>
      <c r="J44" s="1">
        <f t="shared" si="95"/>
        <v>19.739398962514461</v>
      </c>
      <c r="K44" s="1">
        <f t="shared" si="95"/>
        <v>24.392959555846623</v>
      </c>
      <c r="M44" s="1" t="s">
        <v>40</v>
      </c>
      <c r="N44" s="1">
        <f>_xlfn.STDEV.S(N33:N42)</f>
        <v>12.196943555611201</v>
      </c>
      <c r="O44" s="1">
        <f t="shared" ref="O44:V44" si="96">_xlfn.STDEV.S(O33:O42)</f>
        <v>12.196943555611201</v>
      </c>
      <c r="P44" s="1">
        <f t="shared" si="96"/>
        <v>14.181364924121651</v>
      </c>
      <c r="Q44" s="1">
        <f t="shared" si="96"/>
        <v>14.181364924121651</v>
      </c>
      <c r="R44" s="1">
        <f t="shared" si="96"/>
        <v>15.904809428690539</v>
      </c>
      <c r="S44" s="1">
        <f t="shared" si="96"/>
        <v>15.904809428690539</v>
      </c>
      <c r="T44" s="1">
        <f t="shared" si="96"/>
        <v>20.374225998696478</v>
      </c>
      <c r="U44" s="1">
        <f t="shared" si="96"/>
        <v>14.007868228155827</v>
      </c>
      <c r="V44" s="1">
        <f t="shared" si="96"/>
        <v>23.255729744668233</v>
      </c>
      <c r="X44" s="1" t="s">
        <v>40</v>
      </c>
      <c r="Y44" s="1">
        <f>_xlfn.STDEV.S(Y33:Y42)</f>
        <v>10.772621905369624</v>
      </c>
      <c r="Z44" s="1">
        <f t="shared" ref="Z44:AG44" si="97">_xlfn.STDEV.S(Z33:Z42)</f>
        <v>10.772621905369624</v>
      </c>
      <c r="AA44" s="1">
        <f t="shared" si="97"/>
        <v>11.758894715842594</v>
      </c>
      <c r="AB44" s="1">
        <f t="shared" si="97"/>
        <v>11.758894715842594</v>
      </c>
      <c r="AC44" s="1">
        <f t="shared" si="97"/>
        <v>15.238839267550054</v>
      </c>
      <c r="AD44" s="1">
        <f t="shared" si="97"/>
        <v>15.238839267550054</v>
      </c>
      <c r="AE44" s="1">
        <f t="shared" si="97"/>
        <v>10.339805096674688</v>
      </c>
      <c r="AF44" s="1">
        <f t="shared" si="97"/>
        <v>18.33213960517071</v>
      </c>
      <c r="AG44" s="1">
        <f t="shared" si="97"/>
        <v>25.393075662503577</v>
      </c>
      <c r="AI44" s="1" t="s">
        <v>40</v>
      </c>
      <c r="AJ44" s="1">
        <f>_xlfn.STDEV.S(AJ33:AJ42)</f>
        <v>8.314794192831032</v>
      </c>
      <c r="AK44" s="1">
        <f t="shared" ref="AK44:AR44" si="98">_xlfn.STDEV.S(AK33:AK42)</f>
        <v>8.314794192831032</v>
      </c>
      <c r="AL44" s="1">
        <f t="shared" si="98"/>
        <v>25.094881677739625</v>
      </c>
      <c r="AM44" s="1">
        <f t="shared" si="98"/>
        <v>25.094881677739625</v>
      </c>
      <c r="AN44" s="1">
        <f t="shared" si="98"/>
        <v>8.5778929180528181</v>
      </c>
      <c r="AO44" s="1">
        <f t="shared" si="98"/>
        <v>8.5778929180528181</v>
      </c>
      <c r="AP44" s="1">
        <f t="shared" si="98"/>
        <v>6.17136624741189</v>
      </c>
      <c r="AQ44" s="1">
        <f t="shared" si="98"/>
        <v>22.295178154189383</v>
      </c>
      <c r="AR44" s="1">
        <f t="shared" si="98"/>
        <v>16.908016640289048</v>
      </c>
    </row>
    <row r="50" spans="1:44" x14ac:dyDescent="0.45">
      <c r="A50" t="s">
        <v>15</v>
      </c>
      <c r="C50">
        <v>46.6666666666667</v>
      </c>
      <c r="D50">
        <v>46.6666666666667</v>
      </c>
      <c r="E50">
        <v>86.6666666666667</v>
      </c>
      <c r="F50">
        <v>86.6666666666667</v>
      </c>
      <c r="G50">
        <v>66.6666666666667</v>
      </c>
      <c r="H50">
        <v>66.6666666666667</v>
      </c>
      <c r="I50">
        <v>52.883064516128997</v>
      </c>
      <c r="J50">
        <v>94.193548387096797</v>
      </c>
      <c r="K50">
        <v>52.822580645161302</v>
      </c>
      <c r="N50">
        <v>50</v>
      </c>
      <c r="O50">
        <v>50</v>
      </c>
      <c r="P50">
        <v>86.6666666666667</v>
      </c>
      <c r="Q50">
        <v>86.6666666666667</v>
      </c>
      <c r="R50">
        <v>93.3333333333333</v>
      </c>
      <c r="S50">
        <v>93.3333333333333</v>
      </c>
      <c r="T50">
        <v>89.274193548387103</v>
      </c>
      <c r="U50">
        <v>99.838709677419402</v>
      </c>
      <c r="V50">
        <v>99.354838709677395</v>
      </c>
      <c r="Y50">
        <v>86.6666666666667</v>
      </c>
      <c r="Z50">
        <v>86.6666666666667</v>
      </c>
      <c r="AA50">
        <v>86.6666666666667</v>
      </c>
      <c r="AB50">
        <v>86.6666666666667</v>
      </c>
      <c r="AC50">
        <v>100</v>
      </c>
      <c r="AD50">
        <v>100</v>
      </c>
      <c r="AE50">
        <v>99.274193548387103</v>
      </c>
      <c r="AF50">
        <v>99.274193548387103</v>
      </c>
      <c r="AG50">
        <v>100</v>
      </c>
      <c r="AJ50">
        <v>43.3333333333333</v>
      </c>
      <c r="AK50">
        <v>43.3333333333333</v>
      </c>
      <c r="AL50">
        <v>86.6666666666667</v>
      </c>
      <c r="AM50">
        <v>86.6666666666667</v>
      </c>
      <c r="AN50">
        <v>60</v>
      </c>
      <c r="AO50">
        <v>60</v>
      </c>
      <c r="AP50">
        <v>45.987903225806399</v>
      </c>
      <c r="AQ50">
        <v>98.709677419354804</v>
      </c>
      <c r="AR50">
        <v>52.177419354838698</v>
      </c>
    </row>
    <row r="51" spans="1:44" x14ac:dyDescent="0.45">
      <c r="C51">
        <v>40</v>
      </c>
      <c r="D51">
        <v>40</v>
      </c>
      <c r="E51">
        <v>73.3333333333333</v>
      </c>
      <c r="F51">
        <v>73.3333333333333</v>
      </c>
      <c r="G51">
        <v>80</v>
      </c>
      <c r="H51">
        <v>80</v>
      </c>
      <c r="I51">
        <v>86.733870967741893</v>
      </c>
      <c r="J51">
        <v>99.112903225806406</v>
      </c>
      <c r="K51">
        <v>99.758064516128997</v>
      </c>
      <c r="N51">
        <v>50</v>
      </c>
      <c r="O51">
        <v>50</v>
      </c>
      <c r="P51">
        <v>93.3333333333333</v>
      </c>
      <c r="Q51">
        <v>93.3333333333333</v>
      </c>
      <c r="R51">
        <v>66.6666666666667</v>
      </c>
      <c r="S51">
        <v>66.6666666666667</v>
      </c>
      <c r="T51">
        <v>54.0927419354839</v>
      </c>
      <c r="U51">
        <v>94.838709677419402</v>
      </c>
      <c r="V51">
        <v>55.403225806451601</v>
      </c>
      <c r="Y51">
        <v>46.6666666666667</v>
      </c>
      <c r="Z51">
        <v>46.6666666666667</v>
      </c>
      <c r="AA51">
        <v>93.3333333333333</v>
      </c>
      <c r="AB51">
        <v>93.3333333333333</v>
      </c>
      <c r="AC51">
        <v>86.6666666666667</v>
      </c>
      <c r="AD51">
        <v>86.6666666666667</v>
      </c>
      <c r="AE51">
        <v>44.919354838709701</v>
      </c>
      <c r="AF51">
        <v>99.919354838709694</v>
      </c>
      <c r="AG51">
        <v>58.629032258064498</v>
      </c>
      <c r="AJ51">
        <v>50</v>
      </c>
      <c r="AK51">
        <v>50</v>
      </c>
      <c r="AL51">
        <v>66.6666666666667</v>
      </c>
      <c r="AM51">
        <v>66.6666666666667</v>
      </c>
      <c r="AN51">
        <v>60</v>
      </c>
      <c r="AO51">
        <v>60</v>
      </c>
      <c r="AP51">
        <v>46.370967741935502</v>
      </c>
      <c r="AQ51">
        <v>98.548387096774206</v>
      </c>
      <c r="AR51">
        <v>48.709677419354797</v>
      </c>
    </row>
    <row r="52" spans="1:44" x14ac:dyDescent="0.45">
      <c r="C52">
        <v>70</v>
      </c>
      <c r="D52">
        <v>70</v>
      </c>
      <c r="E52">
        <v>86.6666666666667</v>
      </c>
      <c r="F52">
        <v>86.6666666666667</v>
      </c>
      <c r="G52">
        <v>86.6666666666667</v>
      </c>
      <c r="H52">
        <v>86.6666666666667</v>
      </c>
      <c r="I52">
        <v>56.693548387096797</v>
      </c>
      <c r="J52">
        <v>99.274193548387103</v>
      </c>
      <c r="K52">
        <v>99.274193548387103</v>
      </c>
      <c r="N52">
        <v>43.3333333333333</v>
      </c>
      <c r="O52">
        <v>43.3333333333333</v>
      </c>
      <c r="P52">
        <v>100</v>
      </c>
      <c r="Q52">
        <v>100</v>
      </c>
      <c r="R52">
        <v>86.6666666666667</v>
      </c>
      <c r="S52">
        <v>86.6666666666667</v>
      </c>
      <c r="T52">
        <v>51.814516129032299</v>
      </c>
      <c r="U52">
        <v>100</v>
      </c>
      <c r="V52">
        <v>99.274193548387103</v>
      </c>
      <c r="Y52">
        <v>63.3333333333333</v>
      </c>
      <c r="Z52">
        <v>63.3333333333333</v>
      </c>
      <c r="AA52">
        <v>80</v>
      </c>
      <c r="AB52">
        <v>80</v>
      </c>
      <c r="AC52">
        <v>86.6666666666667</v>
      </c>
      <c r="AD52">
        <v>86.6666666666667</v>
      </c>
      <c r="AE52">
        <v>44.193548387096797</v>
      </c>
      <c r="AF52">
        <v>99.274193548387103</v>
      </c>
      <c r="AG52">
        <v>94.193548387096797</v>
      </c>
      <c r="AJ52">
        <v>46.6666666666667</v>
      </c>
      <c r="AK52">
        <v>46.6666666666667</v>
      </c>
      <c r="AL52">
        <v>80</v>
      </c>
      <c r="AM52">
        <v>80</v>
      </c>
      <c r="AN52">
        <v>73.3333333333333</v>
      </c>
      <c r="AO52">
        <v>73.3333333333333</v>
      </c>
      <c r="AP52">
        <v>93.629032258064498</v>
      </c>
      <c r="AQ52">
        <v>99.193548387096797</v>
      </c>
      <c r="AR52">
        <v>93.951612903225794</v>
      </c>
    </row>
    <row r="53" spans="1:44" x14ac:dyDescent="0.45">
      <c r="C53">
        <v>23.3333333333333</v>
      </c>
      <c r="D53">
        <v>23.3333333333333</v>
      </c>
      <c r="E53">
        <v>86.6666666666667</v>
      </c>
      <c r="F53">
        <v>86.6666666666667</v>
      </c>
      <c r="G53">
        <v>66.6666666666667</v>
      </c>
      <c r="H53">
        <v>66.6666666666667</v>
      </c>
      <c r="I53">
        <v>42.137096774193601</v>
      </c>
      <c r="J53">
        <v>99.838709677419402</v>
      </c>
      <c r="K53">
        <v>93.548387096774206</v>
      </c>
      <c r="N53">
        <v>36.6666666666667</v>
      </c>
      <c r="O53">
        <v>36.6666666666667</v>
      </c>
      <c r="P53">
        <v>83.3333333333333</v>
      </c>
      <c r="Q53">
        <v>83.3333333333333</v>
      </c>
      <c r="R53">
        <v>70</v>
      </c>
      <c r="S53">
        <v>70</v>
      </c>
      <c r="T53">
        <v>53.548387096774199</v>
      </c>
      <c r="U53">
        <v>57.419354838709701</v>
      </c>
      <c r="V53">
        <v>57.258064516128997</v>
      </c>
      <c r="Y53">
        <v>36.6666666666667</v>
      </c>
      <c r="Z53">
        <v>36.6666666666667</v>
      </c>
      <c r="AA53">
        <v>100</v>
      </c>
      <c r="AB53">
        <v>100</v>
      </c>
      <c r="AC53">
        <v>76.6666666666667</v>
      </c>
      <c r="AD53">
        <v>76.6666666666667</v>
      </c>
      <c r="AE53">
        <v>46.834677419354797</v>
      </c>
      <c r="AF53">
        <v>100</v>
      </c>
      <c r="AG53">
        <v>94.173387096774206</v>
      </c>
      <c r="AJ53">
        <v>36.6666666666667</v>
      </c>
      <c r="AK53">
        <v>36.6666666666667</v>
      </c>
      <c r="AL53">
        <v>43.3333333333333</v>
      </c>
      <c r="AM53">
        <v>43.3333333333333</v>
      </c>
      <c r="AN53">
        <v>93.3333333333333</v>
      </c>
      <c r="AO53">
        <v>93.3333333333333</v>
      </c>
      <c r="AP53">
        <v>51.834677419354797</v>
      </c>
      <c r="AQ53">
        <v>36.048387096774199</v>
      </c>
      <c r="AR53">
        <v>58.709677419354797</v>
      </c>
    </row>
    <row r="54" spans="1:44" x14ac:dyDescent="0.45">
      <c r="C54">
        <v>40</v>
      </c>
      <c r="D54">
        <v>40</v>
      </c>
      <c r="E54">
        <v>76.6666666666667</v>
      </c>
      <c r="F54">
        <v>76.6666666666667</v>
      </c>
      <c r="G54">
        <v>86.6666666666667</v>
      </c>
      <c r="H54">
        <v>86.6666666666667</v>
      </c>
      <c r="I54">
        <v>43.991935483871003</v>
      </c>
      <c r="J54">
        <v>99.112903225806406</v>
      </c>
      <c r="K54">
        <v>99.838709677419402</v>
      </c>
      <c r="N54">
        <v>43.3333333333333</v>
      </c>
      <c r="O54">
        <v>43.3333333333333</v>
      </c>
      <c r="P54">
        <v>93.3333333333333</v>
      </c>
      <c r="Q54">
        <v>93.3333333333333</v>
      </c>
      <c r="R54">
        <v>60</v>
      </c>
      <c r="S54">
        <v>60</v>
      </c>
      <c r="T54">
        <v>41.411290322580598</v>
      </c>
      <c r="U54">
        <v>99.919354838709694</v>
      </c>
      <c r="V54">
        <v>52.177419354838698</v>
      </c>
      <c r="Y54">
        <v>36.6666666666667</v>
      </c>
      <c r="Z54">
        <v>36.6666666666667</v>
      </c>
      <c r="AA54">
        <v>93.3333333333333</v>
      </c>
      <c r="AB54">
        <v>93.3333333333333</v>
      </c>
      <c r="AC54">
        <v>86.6666666666667</v>
      </c>
      <c r="AD54">
        <v>86.6666666666667</v>
      </c>
      <c r="AE54">
        <v>54.334677419354797</v>
      </c>
      <c r="AF54">
        <v>94.838709677419402</v>
      </c>
      <c r="AG54">
        <v>94.758064516128997</v>
      </c>
      <c r="AJ54">
        <v>23.3333333333333</v>
      </c>
      <c r="AK54">
        <v>23.3333333333333</v>
      </c>
      <c r="AL54">
        <v>63.3333333333333</v>
      </c>
      <c r="AM54">
        <v>63.3333333333333</v>
      </c>
      <c r="AN54">
        <v>93.3333333333333</v>
      </c>
      <c r="AO54">
        <v>93.3333333333333</v>
      </c>
      <c r="AP54">
        <v>37.298387096774199</v>
      </c>
      <c r="AQ54">
        <v>68.951612903225794</v>
      </c>
      <c r="AR54">
        <v>99.919354838709694</v>
      </c>
    </row>
    <row r="55" spans="1:44" x14ac:dyDescent="0.45">
      <c r="C55">
        <v>43.3333333333333</v>
      </c>
      <c r="D55">
        <v>43.3333333333333</v>
      </c>
      <c r="E55">
        <v>86.6666666666667</v>
      </c>
      <c r="F55">
        <v>86.6666666666667</v>
      </c>
      <c r="G55">
        <v>93.3333333333333</v>
      </c>
      <c r="H55">
        <v>93.3333333333333</v>
      </c>
      <c r="I55">
        <v>57.580645161290299</v>
      </c>
      <c r="J55">
        <v>99.838709677419402</v>
      </c>
      <c r="K55">
        <v>58.709677419354797</v>
      </c>
      <c r="N55">
        <v>30</v>
      </c>
      <c r="O55">
        <v>30</v>
      </c>
      <c r="P55">
        <v>100</v>
      </c>
      <c r="Q55">
        <v>100</v>
      </c>
      <c r="R55">
        <v>70</v>
      </c>
      <c r="S55">
        <v>70</v>
      </c>
      <c r="T55">
        <v>58.870967741935502</v>
      </c>
      <c r="U55">
        <v>100</v>
      </c>
      <c r="V55">
        <v>93.588709677419402</v>
      </c>
      <c r="Y55">
        <v>80</v>
      </c>
      <c r="Z55">
        <v>80</v>
      </c>
      <c r="AA55">
        <v>86.6666666666667</v>
      </c>
      <c r="AB55">
        <v>86.6666666666667</v>
      </c>
      <c r="AC55">
        <v>100</v>
      </c>
      <c r="AD55">
        <v>100</v>
      </c>
      <c r="AE55">
        <v>99.758064516128997</v>
      </c>
      <c r="AF55">
        <v>99.274193548387103</v>
      </c>
      <c r="AG55">
        <v>100</v>
      </c>
      <c r="AJ55">
        <v>46.6666666666667</v>
      </c>
      <c r="AK55">
        <v>46.6666666666667</v>
      </c>
      <c r="AL55">
        <v>70</v>
      </c>
      <c r="AM55">
        <v>70</v>
      </c>
      <c r="AN55">
        <v>93.3333333333333</v>
      </c>
      <c r="AO55">
        <v>93.3333333333333</v>
      </c>
      <c r="AP55">
        <v>41.290322580645203</v>
      </c>
      <c r="AQ55">
        <v>99.173387096774206</v>
      </c>
      <c r="AR55">
        <v>99.354838709677395</v>
      </c>
    </row>
    <row r="56" spans="1:44" x14ac:dyDescent="0.45">
      <c r="C56">
        <v>63.3333333333333</v>
      </c>
      <c r="D56">
        <v>63.3333333333333</v>
      </c>
      <c r="E56">
        <v>93.3333333333333</v>
      </c>
      <c r="F56">
        <v>93.3333333333333</v>
      </c>
      <c r="G56">
        <v>93.3333333333333</v>
      </c>
      <c r="H56">
        <v>93.3333333333333</v>
      </c>
      <c r="I56">
        <v>53.951612903225801</v>
      </c>
      <c r="J56">
        <v>99.919354838709694</v>
      </c>
      <c r="K56">
        <v>99.354838709677395</v>
      </c>
      <c r="N56">
        <v>36.6666666666667</v>
      </c>
      <c r="O56">
        <v>36.6666666666667</v>
      </c>
      <c r="P56">
        <v>93.3333333333333</v>
      </c>
      <c r="Q56">
        <v>93.3333333333333</v>
      </c>
      <c r="R56">
        <v>60</v>
      </c>
      <c r="S56">
        <v>60</v>
      </c>
      <c r="T56">
        <v>54.072580645161302</v>
      </c>
      <c r="U56">
        <v>94.838709677419402</v>
      </c>
      <c r="V56">
        <v>57.177419354838698</v>
      </c>
      <c r="Y56">
        <v>63.3333333333333</v>
      </c>
      <c r="Z56">
        <v>63.3333333333333</v>
      </c>
      <c r="AA56">
        <v>93.3333333333333</v>
      </c>
      <c r="AB56">
        <v>93.3333333333333</v>
      </c>
      <c r="AC56">
        <v>100</v>
      </c>
      <c r="AD56">
        <v>100</v>
      </c>
      <c r="AE56">
        <v>55.322580645161302</v>
      </c>
      <c r="AF56">
        <v>99.919354838709694</v>
      </c>
      <c r="AG56">
        <v>100</v>
      </c>
      <c r="AJ56">
        <v>36.6666666666667</v>
      </c>
      <c r="AK56">
        <v>36.6666666666667</v>
      </c>
      <c r="AL56">
        <v>100</v>
      </c>
      <c r="AM56">
        <v>100</v>
      </c>
      <c r="AN56">
        <v>70</v>
      </c>
      <c r="AO56">
        <v>70</v>
      </c>
      <c r="AP56">
        <v>47.802419354838698</v>
      </c>
      <c r="AQ56">
        <v>100</v>
      </c>
      <c r="AR56">
        <v>57.399193548387103</v>
      </c>
    </row>
    <row r="57" spans="1:44" x14ac:dyDescent="0.45">
      <c r="C57">
        <v>63.3333333333333</v>
      </c>
      <c r="D57">
        <v>63.3333333333333</v>
      </c>
      <c r="E57">
        <v>80</v>
      </c>
      <c r="F57">
        <v>80</v>
      </c>
      <c r="G57">
        <v>100</v>
      </c>
      <c r="H57">
        <v>100</v>
      </c>
      <c r="I57">
        <v>93.447580645161295</v>
      </c>
      <c r="J57">
        <v>94.112903225806406</v>
      </c>
      <c r="K57">
        <v>100</v>
      </c>
      <c r="N57">
        <v>30</v>
      </c>
      <c r="O57">
        <v>30</v>
      </c>
      <c r="P57">
        <v>80</v>
      </c>
      <c r="Q57">
        <v>80</v>
      </c>
      <c r="R57">
        <v>36.6666666666667</v>
      </c>
      <c r="S57">
        <v>36.6666666666667</v>
      </c>
      <c r="T57">
        <v>46.653225806451601</v>
      </c>
      <c r="U57">
        <v>99.274193548387103</v>
      </c>
      <c r="V57">
        <v>53.004032258064498</v>
      </c>
      <c r="Y57">
        <v>60</v>
      </c>
      <c r="Z57">
        <v>60</v>
      </c>
      <c r="AA57">
        <v>80</v>
      </c>
      <c r="AB57">
        <v>80</v>
      </c>
      <c r="AC57">
        <v>86.6666666666667</v>
      </c>
      <c r="AD57">
        <v>86.6666666666667</v>
      </c>
      <c r="AE57">
        <v>57.741935483871003</v>
      </c>
      <c r="AF57">
        <v>99.758064516128997</v>
      </c>
      <c r="AG57">
        <v>99.838709677419402</v>
      </c>
      <c r="AJ57">
        <v>73.3333333333333</v>
      </c>
      <c r="AK57">
        <v>73.3333333333333</v>
      </c>
      <c r="AL57">
        <v>86.6666666666667</v>
      </c>
      <c r="AM57">
        <v>86.6666666666667</v>
      </c>
      <c r="AN57">
        <v>86.6666666666667</v>
      </c>
      <c r="AO57">
        <v>86.6666666666667</v>
      </c>
      <c r="AP57">
        <v>57.9838709677419</v>
      </c>
      <c r="AQ57">
        <v>98.709677419354804</v>
      </c>
      <c r="AR57">
        <v>58.064516129032299</v>
      </c>
    </row>
    <row r="58" spans="1:44" x14ac:dyDescent="0.45">
      <c r="C58">
        <v>56.6666666666667</v>
      </c>
      <c r="D58">
        <v>56.6666666666667</v>
      </c>
      <c r="E58">
        <v>46.6666666666667</v>
      </c>
      <c r="F58">
        <v>46.6666666666667</v>
      </c>
      <c r="G58">
        <v>80</v>
      </c>
      <c r="H58">
        <v>80</v>
      </c>
      <c r="I58">
        <v>52.883064516128997</v>
      </c>
      <c r="J58">
        <v>41.995967741935502</v>
      </c>
      <c r="K58">
        <v>94.758064516128997</v>
      </c>
      <c r="N58">
        <v>36.6666666666667</v>
      </c>
      <c r="O58">
        <v>36.6666666666667</v>
      </c>
      <c r="P58">
        <v>86.6666666666667</v>
      </c>
      <c r="Q58">
        <v>86.6666666666667</v>
      </c>
      <c r="R58">
        <v>60</v>
      </c>
      <c r="S58">
        <v>60</v>
      </c>
      <c r="T58">
        <v>41.290322580645203</v>
      </c>
      <c r="U58">
        <v>99.838709677419402</v>
      </c>
      <c r="V58">
        <v>50.9677419354839</v>
      </c>
      <c r="Y58">
        <v>30</v>
      </c>
      <c r="Z58">
        <v>30</v>
      </c>
      <c r="AA58">
        <v>70</v>
      </c>
      <c r="AB58">
        <v>70</v>
      </c>
      <c r="AC58">
        <v>93.3333333333333</v>
      </c>
      <c r="AD58">
        <v>93.3333333333333</v>
      </c>
      <c r="AE58">
        <v>79.052419354838705</v>
      </c>
      <c r="AF58">
        <v>93.951612903225794</v>
      </c>
      <c r="AG58">
        <v>99.354838709677395</v>
      </c>
      <c r="AJ58">
        <v>40</v>
      </c>
      <c r="AK58">
        <v>40</v>
      </c>
      <c r="AL58">
        <v>93.3333333333333</v>
      </c>
      <c r="AM58">
        <v>93.3333333333333</v>
      </c>
      <c r="AN58">
        <v>86.6666666666667</v>
      </c>
      <c r="AO58">
        <v>86.6666666666667</v>
      </c>
      <c r="AP58">
        <v>67.741935483871003</v>
      </c>
      <c r="AQ58">
        <v>99.919354838709694</v>
      </c>
      <c r="AR58">
        <v>99.354838709677395</v>
      </c>
    </row>
    <row r="59" spans="1:44" x14ac:dyDescent="0.45">
      <c r="C59">
        <v>40</v>
      </c>
      <c r="D59">
        <v>40</v>
      </c>
      <c r="E59">
        <v>93.3333333333333</v>
      </c>
      <c r="F59">
        <v>93.3333333333333</v>
      </c>
      <c r="G59">
        <v>66.6666666666667</v>
      </c>
      <c r="H59">
        <v>66.6666666666667</v>
      </c>
      <c r="I59">
        <v>45.7661290322581</v>
      </c>
      <c r="J59">
        <v>99.919354838709694</v>
      </c>
      <c r="K59">
        <v>57.903225806451601</v>
      </c>
      <c r="N59">
        <v>66.6666666666667</v>
      </c>
      <c r="O59">
        <v>66.6666666666667</v>
      </c>
      <c r="P59">
        <v>93.3333333333333</v>
      </c>
      <c r="Q59">
        <v>93.3333333333333</v>
      </c>
      <c r="R59">
        <v>93.3333333333333</v>
      </c>
      <c r="S59">
        <v>93.3333333333333</v>
      </c>
      <c r="T59">
        <v>98.4677419354839</v>
      </c>
      <c r="U59">
        <v>99.919354838709694</v>
      </c>
      <c r="V59">
        <v>99.919354838709694</v>
      </c>
      <c r="Y59">
        <v>43.3333333333333</v>
      </c>
      <c r="Z59">
        <v>43.3333333333333</v>
      </c>
      <c r="AA59">
        <v>73.3333333333333</v>
      </c>
      <c r="AB59">
        <v>73.3333333333333</v>
      </c>
      <c r="AC59">
        <v>66.6666666666667</v>
      </c>
      <c r="AD59">
        <v>66.6666666666667</v>
      </c>
      <c r="AE59">
        <v>40.443548387096797</v>
      </c>
      <c r="AF59">
        <v>94.0322580645161</v>
      </c>
      <c r="AG59">
        <v>46.048387096774199</v>
      </c>
      <c r="AJ59">
        <v>43.3333333333333</v>
      </c>
      <c r="AK59">
        <v>43.3333333333333</v>
      </c>
      <c r="AL59">
        <v>73.3333333333333</v>
      </c>
      <c r="AM59">
        <v>73.3333333333333</v>
      </c>
      <c r="AN59">
        <v>70</v>
      </c>
      <c r="AO59">
        <v>70</v>
      </c>
      <c r="AP59">
        <v>46.411290322580598</v>
      </c>
      <c r="AQ59">
        <v>94.112903225806406</v>
      </c>
      <c r="AR59">
        <v>98.608870967741893</v>
      </c>
    </row>
    <row r="60" spans="1:44" s="1" customFormat="1" x14ac:dyDescent="0.45">
      <c r="B60" s="1" t="s">
        <v>20</v>
      </c>
      <c r="C60" s="1">
        <f>AVERAGE(C50:C59)</f>
        <v>48.666666666666664</v>
      </c>
      <c r="D60" s="1">
        <f t="shared" ref="D60" si="99">AVERAGE(D50:D59)</f>
        <v>48.666666666666664</v>
      </c>
      <c r="E60" s="1">
        <f t="shared" ref="E60" si="100">AVERAGE(E50:E59)</f>
        <v>81</v>
      </c>
      <c r="F60" s="1">
        <f t="shared" ref="F60" si="101">AVERAGE(F50:F59)</f>
        <v>81</v>
      </c>
      <c r="G60" s="1">
        <f t="shared" ref="G60" si="102">AVERAGE(G50:G59)</f>
        <v>82.000000000000014</v>
      </c>
      <c r="H60" s="1">
        <f t="shared" ref="H60" si="103">AVERAGE(H50:H59)</f>
        <v>82.000000000000014</v>
      </c>
      <c r="I60" s="1">
        <f t="shared" ref="I60" si="104">AVERAGE(I50:I59)</f>
        <v>58.606854838709673</v>
      </c>
      <c r="J60" s="1">
        <f t="shared" ref="J60:K60" si="105">AVERAGE(J50:J59)</f>
        <v>92.731854838709666</v>
      </c>
      <c r="K60" s="1">
        <f t="shared" si="105"/>
        <v>85.596774193548384</v>
      </c>
      <c r="M60" s="1" t="s">
        <v>20</v>
      </c>
      <c r="N60" s="1">
        <f t="shared" ref="N60" si="106">AVERAGE(N50:N59)</f>
        <v>42.333333333333336</v>
      </c>
      <c r="O60" s="1">
        <f t="shared" ref="O60" si="107">AVERAGE(O50:O59)</f>
        <v>42.333333333333336</v>
      </c>
      <c r="P60" s="1">
        <f t="shared" ref="P60" si="108">AVERAGE(P50:P59)</f>
        <v>90.999999999999986</v>
      </c>
      <c r="Q60" s="1">
        <f t="shared" ref="Q60" si="109">AVERAGE(Q50:Q59)</f>
        <v>90.999999999999986</v>
      </c>
      <c r="R60" s="1">
        <f t="shared" ref="R60" si="110">AVERAGE(R50:R59)</f>
        <v>69.666666666666657</v>
      </c>
      <c r="S60" s="1">
        <f t="shared" ref="S60" si="111">AVERAGE(S50:S59)</f>
        <v>69.666666666666657</v>
      </c>
      <c r="T60" s="1">
        <f t="shared" ref="T60" si="112">AVERAGE(T50:T59)</f>
        <v>58.949596774193559</v>
      </c>
      <c r="U60" s="1">
        <f t="shared" ref="U60:V60" si="113">AVERAGE(U50:U59)</f>
        <v>94.588709677419359</v>
      </c>
      <c r="V60" s="1">
        <f t="shared" si="113"/>
        <v>71.8125</v>
      </c>
      <c r="X60" s="1" t="s">
        <v>20</v>
      </c>
      <c r="Y60" s="1">
        <f t="shared" ref="Y60" si="114">AVERAGE(Y50:Y59)</f>
        <v>54.666666666666664</v>
      </c>
      <c r="Z60" s="1">
        <f t="shared" ref="Z60" si="115">AVERAGE(Z50:Z59)</f>
        <v>54.666666666666664</v>
      </c>
      <c r="AA60" s="1">
        <f t="shared" ref="AA60" si="116">AVERAGE(AA50:AA59)</f>
        <v>85.666666666666657</v>
      </c>
      <c r="AB60" s="1">
        <f t="shared" ref="AB60" si="117">AVERAGE(AB50:AB59)</f>
        <v>85.666666666666657</v>
      </c>
      <c r="AC60" s="1">
        <f t="shared" ref="AC60" si="118">AVERAGE(AC50:AC59)</f>
        <v>88.333333333333343</v>
      </c>
      <c r="AD60" s="1">
        <f t="shared" ref="AD60" si="119">AVERAGE(AD50:AD59)</f>
        <v>88.333333333333343</v>
      </c>
      <c r="AE60" s="1">
        <f t="shared" ref="AE60" si="120">AVERAGE(AE50:AE59)</f>
        <v>62.1875</v>
      </c>
      <c r="AF60" s="1">
        <f t="shared" ref="AF60:AG60" si="121">AVERAGE(AF50:AF59)</f>
        <v>98.024193548387103</v>
      </c>
      <c r="AG60" s="1">
        <f t="shared" si="121"/>
        <v>88.699596774193552</v>
      </c>
      <c r="AI60" s="1" t="s">
        <v>20</v>
      </c>
      <c r="AJ60" s="1">
        <f t="shared" ref="AJ60" si="122">AVERAGE(AJ50:AJ59)</f>
        <v>44</v>
      </c>
      <c r="AK60" s="1">
        <f t="shared" ref="AK60" si="123">AVERAGE(AK50:AK59)</f>
        <v>44</v>
      </c>
      <c r="AL60" s="1">
        <f t="shared" ref="AL60" si="124">AVERAGE(AL50:AL59)</f>
        <v>76.333333333333329</v>
      </c>
      <c r="AM60" s="1">
        <f t="shared" ref="AM60" si="125">AVERAGE(AM50:AM59)</f>
        <v>76.333333333333329</v>
      </c>
      <c r="AN60" s="1">
        <f t="shared" ref="AN60" si="126">AVERAGE(AN50:AN59)</f>
        <v>78.666666666666671</v>
      </c>
      <c r="AO60" s="1">
        <f t="shared" ref="AO60" si="127">AVERAGE(AO50:AO59)</f>
        <v>78.666666666666671</v>
      </c>
      <c r="AP60" s="1">
        <f t="shared" ref="AP60" si="128">AVERAGE(AP50:AP59)</f>
        <v>53.635080645161281</v>
      </c>
      <c r="AQ60" s="1">
        <f t="shared" ref="AQ60:AR60" si="129">AVERAGE(AQ50:AQ59)</f>
        <v>89.336693548387075</v>
      </c>
      <c r="AR60" s="1">
        <f t="shared" si="129"/>
        <v>76.625</v>
      </c>
    </row>
    <row r="61" spans="1:44" x14ac:dyDescent="0.45">
      <c r="B61" s="1" t="s">
        <v>40</v>
      </c>
      <c r="C61" s="1">
        <f>_xlfn.STDEV.S(C50:C59)</f>
        <v>14.332902663641859</v>
      </c>
      <c r="D61" s="1">
        <f t="shared" ref="D61:K61" si="130">_xlfn.STDEV.S(D50:D59)</f>
        <v>14.332902663641859</v>
      </c>
      <c r="E61" s="1">
        <f t="shared" si="130"/>
        <v>13.703203194063036</v>
      </c>
      <c r="F61" s="1">
        <f t="shared" si="130"/>
        <v>13.703203194063036</v>
      </c>
      <c r="G61" s="1">
        <f t="shared" si="130"/>
        <v>12.191881532751173</v>
      </c>
      <c r="H61" s="1">
        <f t="shared" si="130"/>
        <v>12.191881532751173</v>
      </c>
      <c r="I61" s="1">
        <f t="shared" si="130"/>
        <v>17.469487448447666</v>
      </c>
      <c r="J61" s="1">
        <f t="shared" si="130"/>
        <v>17.971418415855133</v>
      </c>
      <c r="K61" s="1">
        <f t="shared" si="130"/>
        <v>20.271319830666908</v>
      </c>
      <c r="M61" s="1" t="s">
        <v>40</v>
      </c>
      <c r="N61" s="1">
        <f>_xlfn.STDEV.S(N50:N59)</f>
        <v>11.116665278471791</v>
      </c>
      <c r="O61" s="1">
        <f t="shared" ref="O61:V61" si="131">_xlfn.STDEV.S(O50:O59)</f>
        <v>11.116665278471791</v>
      </c>
      <c r="P61" s="1">
        <f t="shared" si="131"/>
        <v>6.6759195047999063</v>
      </c>
      <c r="Q61" s="1">
        <f t="shared" si="131"/>
        <v>6.6759195047999063</v>
      </c>
      <c r="R61" s="1">
        <f t="shared" si="131"/>
        <v>17.599803590374339</v>
      </c>
      <c r="S61" s="1">
        <f t="shared" si="131"/>
        <v>17.599803590374339</v>
      </c>
      <c r="T61" s="1">
        <f t="shared" si="131"/>
        <v>19.377451997619541</v>
      </c>
      <c r="U61" s="1">
        <f t="shared" si="131"/>
        <v>13.225230011915791</v>
      </c>
      <c r="V61" s="1">
        <f t="shared" si="131"/>
        <v>22.720533732474408</v>
      </c>
      <c r="X61" s="1" t="s">
        <v>40</v>
      </c>
      <c r="Y61" s="1">
        <f>_xlfn.STDEV.S(Y50:Y59)</f>
        <v>19.129190414806555</v>
      </c>
      <c r="Z61" s="1">
        <f t="shared" ref="Z61:AG61" si="132">_xlfn.STDEV.S(Z50:Z59)</f>
        <v>19.129190414806555</v>
      </c>
      <c r="AA61" s="1">
        <f t="shared" si="132"/>
        <v>9.6928126611396817</v>
      </c>
      <c r="AB61" s="1">
        <f t="shared" si="132"/>
        <v>9.6928126611396817</v>
      </c>
      <c r="AC61" s="1">
        <f t="shared" si="132"/>
        <v>10.801234497346433</v>
      </c>
      <c r="AD61" s="1">
        <f t="shared" si="132"/>
        <v>10.801234497346433</v>
      </c>
      <c r="AE61" s="1">
        <f t="shared" si="132"/>
        <v>22.436162204630325</v>
      </c>
      <c r="AF61" s="1">
        <f t="shared" si="132"/>
        <v>2.6129944893128529</v>
      </c>
      <c r="AG61" s="1">
        <f t="shared" si="132"/>
        <v>19.553137882982714</v>
      </c>
      <c r="AI61" s="1" t="s">
        <v>40</v>
      </c>
      <c r="AJ61" s="1">
        <f>_xlfn.STDEV.S(AJ50:AJ59)</f>
        <v>12.74633813306664</v>
      </c>
      <c r="AK61" s="1">
        <f t="shared" ref="AK61:AR61" si="133">_xlfn.STDEV.S(AK50:AK59)</f>
        <v>12.74633813306664</v>
      </c>
      <c r="AL61" s="1">
        <f t="shared" si="133"/>
        <v>16.588706555521011</v>
      </c>
      <c r="AM61" s="1">
        <f t="shared" si="133"/>
        <v>16.588706555521011</v>
      </c>
      <c r="AN61" s="1">
        <f t="shared" si="133"/>
        <v>13.535504295858578</v>
      </c>
      <c r="AO61" s="1">
        <f t="shared" si="133"/>
        <v>13.535504295858578</v>
      </c>
      <c r="AP61" s="1">
        <f t="shared" si="133"/>
        <v>16.456688268746952</v>
      </c>
      <c r="AQ61" s="1">
        <f t="shared" si="133"/>
        <v>20.971369899981518</v>
      </c>
      <c r="AR61" s="1">
        <f t="shared" si="133"/>
        <v>23.025231601931338</v>
      </c>
    </row>
    <row r="64" spans="1:44" x14ac:dyDescent="0.45">
      <c r="A64" t="s">
        <v>16</v>
      </c>
      <c r="C64">
        <v>46.6666666666667</v>
      </c>
      <c r="D64">
        <v>46.6666666666667</v>
      </c>
      <c r="E64">
        <v>60</v>
      </c>
      <c r="F64">
        <v>60</v>
      </c>
      <c r="G64">
        <v>66.6666666666667</v>
      </c>
      <c r="H64">
        <v>66.6666666666667</v>
      </c>
      <c r="I64">
        <v>43.447580645161302</v>
      </c>
      <c r="J64">
        <v>56.693548387096797</v>
      </c>
      <c r="K64">
        <v>52.9838709677419</v>
      </c>
      <c r="N64">
        <v>66.6666666666667</v>
      </c>
      <c r="O64">
        <v>66.6666666666667</v>
      </c>
      <c r="P64">
        <v>100</v>
      </c>
      <c r="Q64">
        <v>100</v>
      </c>
      <c r="R64">
        <v>86.6666666666667</v>
      </c>
      <c r="S64">
        <v>86.6666666666667</v>
      </c>
      <c r="T64">
        <v>52.177419354838698</v>
      </c>
      <c r="U64">
        <v>100</v>
      </c>
      <c r="V64">
        <v>53.548387096774199</v>
      </c>
      <c r="Y64">
        <v>73.3333333333333</v>
      </c>
      <c r="Z64">
        <v>73.3333333333333</v>
      </c>
      <c r="AA64">
        <v>80</v>
      </c>
      <c r="AB64">
        <v>80</v>
      </c>
      <c r="AC64">
        <v>80</v>
      </c>
      <c r="AD64">
        <v>80</v>
      </c>
      <c r="AE64">
        <v>98.629032258064498</v>
      </c>
      <c r="AF64">
        <v>99.758064516128997</v>
      </c>
      <c r="AG64">
        <v>94.112903225806406</v>
      </c>
      <c r="AJ64">
        <v>50</v>
      </c>
      <c r="AK64">
        <v>50</v>
      </c>
      <c r="AL64">
        <v>70</v>
      </c>
      <c r="AM64">
        <v>70</v>
      </c>
      <c r="AN64">
        <v>80</v>
      </c>
      <c r="AO64">
        <v>80</v>
      </c>
      <c r="AP64">
        <v>49.435483870967701</v>
      </c>
      <c r="AQ64">
        <v>94.233870967741893</v>
      </c>
      <c r="AR64">
        <v>94.112903225806406</v>
      </c>
    </row>
    <row r="65" spans="1:44" x14ac:dyDescent="0.45">
      <c r="C65">
        <v>50</v>
      </c>
      <c r="D65">
        <v>50</v>
      </c>
      <c r="E65">
        <v>93.3333333333333</v>
      </c>
      <c r="F65">
        <v>93.3333333333333</v>
      </c>
      <c r="G65">
        <v>80</v>
      </c>
      <c r="H65">
        <v>80</v>
      </c>
      <c r="I65">
        <v>96.270161290322605</v>
      </c>
      <c r="J65">
        <v>94.838709677419402</v>
      </c>
      <c r="K65">
        <v>96.612903225806406</v>
      </c>
      <c r="N65">
        <v>43.3333333333333</v>
      </c>
      <c r="O65">
        <v>43.3333333333333</v>
      </c>
      <c r="P65">
        <v>100</v>
      </c>
      <c r="Q65">
        <v>100</v>
      </c>
      <c r="R65">
        <v>73.3333333333333</v>
      </c>
      <c r="S65">
        <v>73.3333333333333</v>
      </c>
      <c r="T65">
        <v>93.306451612903203</v>
      </c>
      <c r="U65">
        <v>100</v>
      </c>
      <c r="V65">
        <v>94.0322580645161</v>
      </c>
      <c r="Y65">
        <v>80</v>
      </c>
      <c r="Z65">
        <v>80</v>
      </c>
      <c r="AA65">
        <v>86.6666666666667</v>
      </c>
      <c r="AB65">
        <v>86.6666666666667</v>
      </c>
      <c r="AC65">
        <v>93.3333333333333</v>
      </c>
      <c r="AD65">
        <v>93.3333333333333</v>
      </c>
      <c r="AE65">
        <v>57.9838709677419</v>
      </c>
      <c r="AF65">
        <v>94.838709677419402</v>
      </c>
      <c r="AG65">
        <v>99.919354838709694</v>
      </c>
      <c r="AJ65">
        <v>56.6666666666667</v>
      </c>
      <c r="AK65">
        <v>56.6666666666667</v>
      </c>
      <c r="AL65">
        <v>100</v>
      </c>
      <c r="AM65">
        <v>100</v>
      </c>
      <c r="AN65">
        <v>86.6666666666667</v>
      </c>
      <c r="AO65">
        <v>86.6666666666667</v>
      </c>
      <c r="AP65">
        <v>89.274193548387103</v>
      </c>
      <c r="AQ65">
        <v>100</v>
      </c>
      <c r="AR65">
        <v>94.758064516128997</v>
      </c>
    </row>
    <row r="66" spans="1:44" x14ac:dyDescent="0.45">
      <c r="C66">
        <v>66.6666666666667</v>
      </c>
      <c r="D66">
        <v>66.6666666666667</v>
      </c>
      <c r="E66">
        <v>93.3333333333333</v>
      </c>
      <c r="F66">
        <v>93.3333333333333</v>
      </c>
      <c r="G66">
        <v>86.6666666666667</v>
      </c>
      <c r="H66">
        <v>86.6666666666667</v>
      </c>
      <c r="I66">
        <v>52.177419354838698</v>
      </c>
      <c r="J66">
        <v>99.919354838709694</v>
      </c>
      <c r="K66">
        <v>99.274193548387103</v>
      </c>
      <c r="N66">
        <v>50</v>
      </c>
      <c r="O66">
        <v>50</v>
      </c>
      <c r="P66">
        <v>93.3333333333333</v>
      </c>
      <c r="Q66">
        <v>93.3333333333333</v>
      </c>
      <c r="R66">
        <v>80</v>
      </c>
      <c r="S66">
        <v>80</v>
      </c>
      <c r="T66">
        <v>45.302419354838698</v>
      </c>
      <c r="U66">
        <v>99.919354838709694</v>
      </c>
      <c r="V66">
        <v>98.709677419354804</v>
      </c>
      <c r="Y66">
        <v>53.3333333333333</v>
      </c>
      <c r="Z66">
        <v>53.3333333333333</v>
      </c>
      <c r="AA66">
        <v>93.3333333333333</v>
      </c>
      <c r="AB66">
        <v>93.3333333333333</v>
      </c>
      <c r="AC66">
        <v>86.6666666666667</v>
      </c>
      <c r="AD66">
        <v>86.6666666666667</v>
      </c>
      <c r="AE66">
        <v>92.278225806451601</v>
      </c>
      <c r="AF66">
        <v>99.354838709677395</v>
      </c>
      <c r="AG66">
        <v>99.354838709677395</v>
      </c>
      <c r="AJ66">
        <v>46.6666666666667</v>
      </c>
      <c r="AK66">
        <v>46.6666666666667</v>
      </c>
      <c r="AL66">
        <v>86.6666666666667</v>
      </c>
      <c r="AM66">
        <v>86.6666666666667</v>
      </c>
      <c r="AN66">
        <v>83.3333333333333</v>
      </c>
      <c r="AO66">
        <v>83.3333333333333</v>
      </c>
      <c r="AP66">
        <v>65.725806451612897</v>
      </c>
      <c r="AQ66">
        <v>99.274193548387103</v>
      </c>
      <c r="AR66">
        <v>99.334677419354804</v>
      </c>
    </row>
    <row r="67" spans="1:44" x14ac:dyDescent="0.45">
      <c r="C67">
        <v>46.6666666666667</v>
      </c>
      <c r="D67">
        <v>46.6666666666667</v>
      </c>
      <c r="E67">
        <v>86.6666666666667</v>
      </c>
      <c r="F67">
        <v>86.6666666666667</v>
      </c>
      <c r="G67">
        <v>100</v>
      </c>
      <c r="H67">
        <v>100</v>
      </c>
      <c r="I67">
        <v>97.177419354838705</v>
      </c>
      <c r="J67">
        <v>94.838709677419402</v>
      </c>
      <c r="K67">
        <v>100</v>
      </c>
      <c r="N67">
        <v>23.3333333333333</v>
      </c>
      <c r="O67">
        <v>23.3333333333333</v>
      </c>
      <c r="P67">
        <v>93.3333333333333</v>
      </c>
      <c r="Q67">
        <v>93.3333333333333</v>
      </c>
      <c r="R67">
        <v>73.3333333333333</v>
      </c>
      <c r="S67">
        <v>73.3333333333333</v>
      </c>
      <c r="T67">
        <v>49.5161290322581</v>
      </c>
      <c r="U67">
        <v>99.919354838709694</v>
      </c>
      <c r="V67">
        <v>91.451612903225794</v>
      </c>
      <c r="Y67">
        <v>23.3333333333333</v>
      </c>
      <c r="Z67">
        <v>23.3333333333333</v>
      </c>
      <c r="AA67">
        <v>86.6666666666667</v>
      </c>
      <c r="AB67">
        <v>86.6666666666667</v>
      </c>
      <c r="AC67">
        <v>50</v>
      </c>
      <c r="AD67">
        <v>50</v>
      </c>
      <c r="AE67">
        <v>40.020161290322598</v>
      </c>
      <c r="AF67">
        <v>99.274193548387103</v>
      </c>
      <c r="AG67">
        <v>52.419354838709701</v>
      </c>
      <c r="AJ67">
        <v>23.3333333333333</v>
      </c>
      <c r="AK67">
        <v>23.3333333333333</v>
      </c>
      <c r="AL67">
        <v>86.6666666666667</v>
      </c>
      <c r="AM67">
        <v>86.6666666666667</v>
      </c>
      <c r="AN67">
        <v>53.3333333333333</v>
      </c>
      <c r="AO67">
        <v>53.3333333333333</v>
      </c>
      <c r="AP67">
        <v>37.278225806451601</v>
      </c>
      <c r="AQ67">
        <v>98.709677419354804</v>
      </c>
      <c r="AR67">
        <v>88.387096774193594</v>
      </c>
    </row>
    <row r="68" spans="1:44" x14ac:dyDescent="0.45">
      <c r="C68">
        <v>46.6666666666667</v>
      </c>
      <c r="D68">
        <v>46.6666666666667</v>
      </c>
      <c r="E68">
        <v>73.3333333333333</v>
      </c>
      <c r="F68">
        <v>73.3333333333333</v>
      </c>
      <c r="G68">
        <v>73.3333333333333</v>
      </c>
      <c r="H68">
        <v>73.3333333333333</v>
      </c>
      <c r="I68">
        <v>93.729838709677395</v>
      </c>
      <c r="J68">
        <v>99.677419354838705</v>
      </c>
      <c r="K68">
        <v>98.629032258064498</v>
      </c>
      <c r="N68">
        <v>63.3333333333333</v>
      </c>
      <c r="O68">
        <v>63.3333333333333</v>
      </c>
      <c r="P68">
        <v>93.3333333333333</v>
      </c>
      <c r="Q68">
        <v>93.3333333333333</v>
      </c>
      <c r="R68">
        <v>93.3333333333333</v>
      </c>
      <c r="S68">
        <v>93.3333333333333</v>
      </c>
      <c r="T68">
        <v>45.322580645161302</v>
      </c>
      <c r="U68">
        <v>94.838709677419402</v>
      </c>
      <c r="V68">
        <v>94.838709677419402</v>
      </c>
      <c r="Y68">
        <v>33.3333333333333</v>
      </c>
      <c r="Z68">
        <v>33.3333333333333</v>
      </c>
      <c r="AA68">
        <v>93.3333333333333</v>
      </c>
      <c r="AB68">
        <v>93.3333333333333</v>
      </c>
      <c r="AC68">
        <v>93.3333333333333</v>
      </c>
      <c r="AD68">
        <v>93.3333333333333</v>
      </c>
      <c r="AE68">
        <v>67.358870967741893</v>
      </c>
      <c r="AF68">
        <v>99.354838709677395</v>
      </c>
      <c r="AG68">
        <v>99.354838709677395</v>
      </c>
      <c r="AJ68">
        <v>23.3333333333333</v>
      </c>
      <c r="AK68">
        <v>23.3333333333333</v>
      </c>
      <c r="AL68">
        <v>86.6666666666667</v>
      </c>
      <c r="AM68">
        <v>86.6666666666667</v>
      </c>
      <c r="AN68">
        <v>80</v>
      </c>
      <c r="AO68">
        <v>80</v>
      </c>
      <c r="AP68">
        <v>45.745967741935502</v>
      </c>
      <c r="AQ68">
        <v>94.758064516128997</v>
      </c>
      <c r="AR68">
        <v>93.548387096774206</v>
      </c>
    </row>
    <row r="69" spans="1:44" x14ac:dyDescent="0.45">
      <c r="C69">
        <v>60</v>
      </c>
      <c r="D69">
        <v>60</v>
      </c>
      <c r="E69">
        <v>86.6666666666667</v>
      </c>
      <c r="F69">
        <v>86.6666666666667</v>
      </c>
      <c r="G69">
        <v>80</v>
      </c>
      <c r="H69">
        <v>80</v>
      </c>
      <c r="I69">
        <v>56.612903225806399</v>
      </c>
      <c r="J69">
        <v>99.274193548387103</v>
      </c>
      <c r="K69">
        <v>57.419354838709701</v>
      </c>
      <c r="N69">
        <v>16.6666666666667</v>
      </c>
      <c r="O69">
        <v>16.6666666666667</v>
      </c>
      <c r="P69">
        <v>93.3333333333333</v>
      </c>
      <c r="Q69">
        <v>93.3333333333333</v>
      </c>
      <c r="R69">
        <v>76.6666666666667</v>
      </c>
      <c r="S69">
        <v>76.6666666666667</v>
      </c>
      <c r="T69">
        <v>46.895161290322598</v>
      </c>
      <c r="U69">
        <v>94.838709677419402</v>
      </c>
      <c r="V69">
        <v>70.806451612903203</v>
      </c>
      <c r="Y69">
        <v>73.3333333333333</v>
      </c>
      <c r="Z69">
        <v>73.3333333333333</v>
      </c>
      <c r="AA69">
        <v>100</v>
      </c>
      <c r="AB69">
        <v>100</v>
      </c>
      <c r="AC69">
        <v>93.3333333333333</v>
      </c>
      <c r="AD69">
        <v>93.3333333333333</v>
      </c>
      <c r="AE69">
        <v>58.548387096774199</v>
      </c>
      <c r="AF69">
        <v>100</v>
      </c>
      <c r="AG69">
        <v>58.709677419354797</v>
      </c>
      <c r="AJ69">
        <v>46.6666666666667</v>
      </c>
      <c r="AK69">
        <v>46.6666666666667</v>
      </c>
      <c r="AL69">
        <v>100</v>
      </c>
      <c r="AM69">
        <v>100</v>
      </c>
      <c r="AN69">
        <v>66.6666666666667</v>
      </c>
      <c r="AO69">
        <v>66.6666666666667</v>
      </c>
      <c r="AP69">
        <v>38.649193548387103</v>
      </c>
      <c r="AQ69">
        <v>100</v>
      </c>
      <c r="AR69">
        <v>56.754032258064498</v>
      </c>
    </row>
    <row r="70" spans="1:44" x14ac:dyDescent="0.45">
      <c r="C70">
        <v>53.3333333333333</v>
      </c>
      <c r="D70">
        <v>53.3333333333333</v>
      </c>
      <c r="E70">
        <v>100</v>
      </c>
      <c r="F70">
        <v>100</v>
      </c>
      <c r="G70">
        <v>100</v>
      </c>
      <c r="H70">
        <v>100</v>
      </c>
      <c r="I70">
        <v>56.834677419354797</v>
      </c>
      <c r="J70">
        <v>100</v>
      </c>
      <c r="K70">
        <v>100</v>
      </c>
      <c r="N70">
        <v>56.6666666666667</v>
      </c>
      <c r="O70">
        <v>56.6666666666667</v>
      </c>
      <c r="P70">
        <v>76.6666666666667</v>
      </c>
      <c r="Q70">
        <v>76.6666666666667</v>
      </c>
      <c r="R70">
        <v>93.3333333333333</v>
      </c>
      <c r="S70">
        <v>93.3333333333333</v>
      </c>
      <c r="T70">
        <v>52.0161290322581</v>
      </c>
      <c r="U70">
        <v>94.173387096774206</v>
      </c>
      <c r="V70">
        <v>94.838709677419402</v>
      </c>
      <c r="Y70">
        <v>56.6666666666667</v>
      </c>
      <c r="Z70">
        <v>56.6666666666667</v>
      </c>
      <c r="AA70">
        <v>80</v>
      </c>
      <c r="AB70">
        <v>80</v>
      </c>
      <c r="AC70">
        <v>70</v>
      </c>
      <c r="AD70">
        <v>70</v>
      </c>
      <c r="AE70">
        <v>56.270161290322598</v>
      </c>
      <c r="AF70">
        <v>99.193548387096797</v>
      </c>
      <c r="AG70">
        <v>96.129032258064498</v>
      </c>
      <c r="AJ70">
        <v>23.3333333333333</v>
      </c>
      <c r="AK70">
        <v>23.3333333333333</v>
      </c>
      <c r="AL70">
        <v>70</v>
      </c>
      <c r="AM70">
        <v>70</v>
      </c>
      <c r="AN70">
        <v>76.6666666666667</v>
      </c>
      <c r="AO70">
        <v>76.6666666666667</v>
      </c>
      <c r="AP70">
        <v>43.568548387096797</v>
      </c>
      <c r="AQ70">
        <v>89.516129032258107</v>
      </c>
      <c r="AR70">
        <v>94.173387096774206</v>
      </c>
    </row>
    <row r="71" spans="1:44" x14ac:dyDescent="0.45">
      <c r="C71">
        <v>66.6666666666667</v>
      </c>
      <c r="D71">
        <v>66.6666666666667</v>
      </c>
      <c r="E71">
        <v>66.6666666666667</v>
      </c>
      <c r="F71">
        <v>66.6666666666667</v>
      </c>
      <c r="G71">
        <v>73.3333333333333</v>
      </c>
      <c r="H71">
        <v>73.3333333333333</v>
      </c>
      <c r="I71">
        <v>52.177419354838698</v>
      </c>
      <c r="J71">
        <v>56.209677419354797</v>
      </c>
      <c r="K71">
        <v>57.903225806451601</v>
      </c>
      <c r="N71">
        <v>46.6666666666667</v>
      </c>
      <c r="O71">
        <v>46.6666666666667</v>
      </c>
      <c r="P71">
        <v>93.3333333333333</v>
      </c>
      <c r="Q71">
        <v>93.3333333333333</v>
      </c>
      <c r="R71">
        <v>66.6666666666667</v>
      </c>
      <c r="S71">
        <v>66.6666666666667</v>
      </c>
      <c r="T71">
        <v>40.504032258064498</v>
      </c>
      <c r="U71">
        <v>94.838709677419402</v>
      </c>
      <c r="V71">
        <v>88.225806451612897</v>
      </c>
      <c r="Y71">
        <v>40</v>
      </c>
      <c r="Z71">
        <v>40</v>
      </c>
      <c r="AA71">
        <v>86.6666666666667</v>
      </c>
      <c r="AB71">
        <v>86.6666666666667</v>
      </c>
      <c r="AC71">
        <v>73.3333333333333</v>
      </c>
      <c r="AD71">
        <v>73.3333333333333</v>
      </c>
      <c r="AE71">
        <v>55.383064516128997</v>
      </c>
      <c r="AF71">
        <v>99.274193548387103</v>
      </c>
      <c r="AG71">
        <v>57.338709677419402</v>
      </c>
      <c r="AJ71">
        <v>50</v>
      </c>
      <c r="AK71">
        <v>50</v>
      </c>
      <c r="AL71">
        <v>80</v>
      </c>
      <c r="AM71">
        <v>80</v>
      </c>
      <c r="AN71">
        <v>76.6666666666667</v>
      </c>
      <c r="AO71">
        <v>76.6666666666667</v>
      </c>
      <c r="AP71">
        <v>44.677419354838698</v>
      </c>
      <c r="AQ71">
        <v>89.596774193548399</v>
      </c>
      <c r="AR71">
        <v>94.596774193548399</v>
      </c>
    </row>
    <row r="72" spans="1:44" x14ac:dyDescent="0.45">
      <c r="C72">
        <v>66.6666666666667</v>
      </c>
      <c r="D72">
        <v>66.6666666666667</v>
      </c>
      <c r="E72">
        <v>86.6666666666667</v>
      </c>
      <c r="F72">
        <v>86.6666666666667</v>
      </c>
      <c r="G72">
        <v>93.3333333333333</v>
      </c>
      <c r="H72">
        <v>93.3333333333333</v>
      </c>
      <c r="I72">
        <v>53.306451612903203</v>
      </c>
      <c r="J72">
        <v>94.758064516128997</v>
      </c>
      <c r="K72">
        <v>99.919354838709694</v>
      </c>
      <c r="N72">
        <v>60</v>
      </c>
      <c r="O72">
        <v>60</v>
      </c>
      <c r="P72">
        <v>100</v>
      </c>
      <c r="Q72">
        <v>100</v>
      </c>
      <c r="R72">
        <v>83.3333333333333</v>
      </c>
      <c r="S72">
        <v>83.3333333333333</v>
      </c>
      <c r="T72">
        <v>55.564516129032299</v>
      </c>
      <c r="U72">
        <v>100</v>
      </c>
      <c r="V72">
        <v>94.677419354838705</v>
      </c>
      <c r="Y72">
        <v>53.3333333333333</v>
      </c>
      <c r="Z72">
        <v>53.3333333333333</v>
      </c>
      <c r="AA72">
        <v>86.6666666666667</v>
      </c>
      <c r="AB72">
        <v>86.6666666666667</v>
      </c>
      <c r="AC72">
        <v>63.3333333333333</v>
      </c>
      <c r="AD72">
        <v>63.3333333333333</v>
      </c>
      <c r="AE72">
        <v>55.241935483871003</v>
      </c>
      <c r="AF72">
        <v>99.274193548387103</v>
      </c>
      <c r="AG72">
        <v>56.048387096774199</v>
      </c>
      <c r="AJ72">
        <v>53.3333333333333</v>
      </c>
      <c r="AK72">
        <v>53.3333333333333</v>
      </c>
      <c r="AL72">
        <v>66.6666666666667</v>
      </c>
      <c r="AM72">
        <v>66.6666666666667</v>
      </c>
      <c r="AN72">
        <v>93.3333333333333</v>
      </c>
      <c r="AO72">
        <v>93.3333333333333</v>
      </c>
      <c r="AP72">
        <v>58.225806451612897</v>
      </c>
      <c r="AQ72">
        <v>57.822580645161302</v>
      </c>
      <c r="AR72">
        <v>99.919354838709694</v>
      </c>
    </row>
    <row r="73" spans="1:44" x14ac:dyDescent="0.45">
      <c r="C73">
        <v>63.3333333333333</v>
      </c>
      <c r="D73">
        <v>63.3333333333333</v>
      </c>
      <c r="E73">
        <v>80</v>
      </c>
      <c r="F73">
        <v>80</v>
      </c>
      <c r="G73">
        <v>76.6666666666667</v>
      </c>
      <c r="H73">
        <v>76.6666666666667</v>
      </c>
      <c r="I73">
        <v>55.725806451612897</v>
      </c>
      <c r="J73">
        <v>94.193548387096797</v>
      </c>
      <c r="K73">
        <v>92.903225806451601</v>
      </c>
      <c r="N73">
        <v>63.3333333333333</v>
      </c>
      <c r="O73">
        <v>63.3333333333333</v>
      </c>
      <c r="P73">
        <v>100</v>
      </c>
      <c r="Q73">
        <v>100</v>
      </c>
      <c r="R73">
        <v>100</v>
      </c>
      <c r="S73">
        <v>100</v>
      </c>
      <c r="T73">
        <v>93.608870967741893</v>
      </c>
      <c r="U73">
        <v>100</v>
      </c>
      <c r="V73">
        <v>100</v>
      </c>
      <c r="Y73">
        <v>63.3333333333333</v>
      </c>
      <c r="Z73">
        <v>63.3333333333333</v>
      </c>
      <c r="AA73">
        <v>93.3333333333333</v>
      </c>
      <c r="AB73">
        <v>93.3333333333333</v>
      </c>
      <c r="AC73">
        <v>93.3333333333333</v>
      </c>
      <c r="AD73">
        <v>93.3333333333333</v>
      </c>
      <c r="AE73">
        <v>57.822580645161302</v>
      </c>
      <c r="AF73">
        <v>58.709677419354797</v>
      </c>
      <c r="AG73">
        <v>58.709677419354797</v>
      </c>
      <c r="AJ73">
        <v>33.3333333333333</v>
      </c>
      <c r="AK73">
        <v>33.3333333333333</v>
      </c>
      <c r="AL73">
        <v>70</v>
      </c>
      <c r="AM73">
        <v>70</v>
      </c>
      <c r="AN73">
        <v>70</v>
      </c>
      <c r="AO73">
        <v>70</v>
      </c>
      <c r="AP73">
        <v>47.661290322580598</v>
      </c>
      <c r="AQ73">
        <v>52.883064516128997</v>
      </c>
      <c r="AR73">
        <v>48.951612903225801</v>
      </c>
    </row>
    <row r="74" spans="1:44" s="1" customFormat="1" x14ac:dyDescent="0.45">
      <c r="B74" s="1" t="s">
        <v>20</v>
      </c>
      <c r="C74" s="1">
        <f>AVERAGE(C64:C73)</f>
        <v>56.666666666666671</v>
      </c>
      <c r="D74" s="1">
        <f t="shared" ref="D74" si="134">AVERAGE(D64:D73)</f>
        <v>56.666666666666671</v>
      </c>
      <c r="E74" s="1">
        <f t="shared" ref="E74" si="135">AVERAGE(E64:E73)</f>
        <v>82.666666666666671</v>
      </c>
      <c r="F74" s="1">
        <f t="shared" ref="F74" si="136">AVERAGE(F64:F73)</f>
        <v>82.666666666666671</v>
      </c>
      <c r="G74" s="1">
        <f t="shared" ref="G74" si="137">AVERAGE(G64:G73)</f>
        <v>83</v>
      </c>
      <c r="H74" s="1">
        <f t="shared" ref="H74" si="138">AVERAGE(H64:H73)</f>
        <v>83</v>
      </c>
      <c r="I74" s="1">
        <f t="shared" ref="I74" si="139">AVERAGE(I64:I73)</f>
        <v>65.745967741935459</v>
      </c>
      <c r="J74" s="1">
        <f t="shared" ref="J74:K74" si="140">AVERAGE(J64:J73)</f>
        <v>89.040322580645167</v>
      </c>
      <c r="K74" s="1">
        <f t="shared" si="140"/>
        <v>85.564516129032228</v>
      </c>
      <c r="M74" s="1" t="s">
        <v>20</v>
      </c>
      <c r="N74" s="1">
        <f t="shared" ref="N74" si="141">AVERAGE(N64:N73)</f>
        <v>49</v>
      </c>
      <c r="O74" s="1">
        <f t="shared" ref="O74" si="142">AVERAGE(O64:O73)</f>
        <v>49</v>
      </c>
      <c r="P74" s="1">
        <f t="shared" ref="P74" si="143">AVERAGE(P64:P73)</f>
        <v>94.333333333333329</v>
      </c>
      <c r="Q74" s="1">
        <f t="shared" ref="Q74" si="144">AVERAGE(Q64:Q73)</f>
        <v>94.333333333333329</v>
      </c>
      <c r="R74" s="1">
        <f t="shared" ref="R74" si="145">AVERAGE(R64:R73)</f>
        <v>82.666666666666657</v>
      </c>
      <c r="S74" s="1">
        <f t="shared" ref="S74" si="146">AVERAGE(S64:S73)</f>
        <v>82.666666666666657</v>
      </c>
      <c r="T74" s="1">
        <f t="shared" ref="T74" si="147">AVERAGE(T64:T73)</f>
        <v>57.42137096774195</v>
      </c>
      <c r="U74" s="1">
        <f t="shared" ref="U74:V74" si="148">AVERAGE(U64:U73)</f>
        <v>97.852822580645181</v>
      </c>
      <c r="V74" s="1">
        <f t="shared" si="148"/>
        <v>88.112903225806448</v>
      </c>
      <c r="X74" s="1" t="s">
        <v>20</v>
      </c>
      <c r="Y74" s="1">
        <f t="shared" ref="Y74" si="149">AVERAGE(Y64:Y73)</f>
        <v>54.999999999999986</v>
      </c>
      <c r="Z74" s="1">
        <f t="shared" ref="Z74" si="150">AVERAGE(Z64:Z73)</f>
        <v>54.999999999999986</v>
      </c>
      <c r="AA74" s="1">
        <f t="shared" ref="AA74" si="151">AVERAGE(AA64:AA73)</f>
        <v>88.666666666666671</v>
      </c>
      <c r="AB74" s="1">
        <f t="shared" ref="AB74" si="152">AVERAGE(AB64:AB73)</f>
        <v>88.666666666666671</v>
      </c>
      <c r="AC74" s="1">
        <f t="shared" ref="AC74" si="153">AVERAGE(AC64:AC73)</f>
        <v>79.666666666666643</v>
      </c>
      <c r="AD74" s="1">
        <f t="shared" ref="AD74" si="154">AVERAGE(AD64:AD73)</f>
        <v>79.666666666666643</v>
      </c>
      <c r="AE74" s="1">
        <f t="shared" ref="AE74" si="155">AVERAGE(AE64:AE73)</f>
        <v>63.953629032258064</v>
      </c>
      <c r="AF74" s="1">
        <f t="shared" ref="AF74:AG74" si="156">AVERAGE(AF64:AF73)</f>
        <v>94.903225806451601</v>
      </c>
      <c r="AG74" s="1">
        <f t="shared" si="156"/>
        <v>77.209677419354819</v>
      </c>
      <c r="AI74" s="1" t="s">
        <v>20</v>
      </c>
      <c r="AJ74" s="1">
        <f t="shared" ref="AJ74" si="157">AVERAGE(AJ64:AJ73)</f>
        <v>40.666666666666664</v>
      </c>
      <c r="AK74" s="1">
        <f t="shared" ref="AK74" si="158">AVERAGE(AK64:AK73)</f>
        <v>40.666666666666664</v>
      </c>
      <c r="AL74" s="1">
        <f t="shared" ref="AL74" si="159">AVERAGE(AL64:AL73)</f>
        <v>81.666666666666671</v>
      </c>
      <c r="AM74" s="1">
        <f t="shared" ref="AM74" si="160">AVERAGE(AM64:AM73)</f>
        <v>81.666666666666671</v>
      </c>
      <c r="AN74" s="1">
        <f t="shared" ref="AN74" si="161">AVERAGE(AN64:AN73)</f>
        <v>76.666666666666671</v>
      </c>
      <c r="AO74" s="1">
        <f t="shared" ref="AO74" si="162">AVERAGE(AO64:AO73)</f>
        <v>76.666666666666671</v>
      </c>
      <c r="AP74" s="1">
        <f t="shared" ref="AP74" si="163">AVERAGE(AP64:AP73)</f>
        <v>52.024193548387096</v>
      </c>
      <c r="AQ74" s="1">
        <f t="shared" ref="AQ74:AR74" si="164">AVERAGE(AQ64:AQ73)</f>
        <v>87.679435483870975</v>
      </c>
      <c r="AR74" s="1">
        <f t="shared" si="164"/>
        <v>86.45362903225805</v>
      </c>
    </row>
    <row r="75" spans="1:44" x14ac:dyDescent="0.45">
      <c r="B75" s="1" t="s">
        <v>40</v>
      </c>
      <c r="C75" s="1">
        <f>_xlfn.STDEV.S(C64:C73)</f>
        <v>8.8888888888889692</v>
      </c>
      <c r="D75" s="1">
        <f t="shared" ref="D75:K75" si="165">_xlfn.STDEV.S(D64:D73)</f>
        <v>8.8888888888889692</v>
      </c>
      <c r="E75" s="1">
        <f t="shared" si="165"/>
        <v>12.649110640673518</v>
      </c>
      <c r="F75" s="1">
        <f t="shared" si="165"/>
        <v>12.649110640673518</v>
      </c>
      <c r="G75" s="1">
        <f t="shared" si="165"/>
        <v>11.595018087284059</v>
      </c>
      <c r="H75" s="1">
        <f t="shared" si="165"/>
        <v>11.595018087284059</v>
      </c>
      <c r="I75" s="1">
        <f t="shared" si="165"/>
        <v>21.045342083949496</v>
      </c>
      <c r="J75" s="1">
        <f t="shared" si="165"/>
        <v>17.342958135836401</v>
      </c>
      <c r="K75" s="1">
        <f t="shared" si="165"/>
        <v>20.483553464646338</v>
      </c>
      <c r="M75" s="1" t="s">
        <v>40</v>
      </c>
      <c r="N75" s="1">
        <f>_xlfn.STDEV.S(N64:N73)</f>
        <v>17.144988109764046</v>
      </c>
      <c r="O75" s="1">
        <f t="shared" ref="O75:V75" si="166">_xlfn.STDEV.S(O64:O73)</f>
        <v>17.144988109764046</v>
      </c>
      <c r="P75" s="1">
        <f t="shared" si="166"/>
        <v>7.0360623106611326</v>
      </c>
      <c r="Q75" s="1">
        <f t="shared" si="166"/>
        <v>7.0360623106611326</v>
      </c>
      <c r="R75" s="1">
        <f t="shared" si="166"/>
        <v>10.634209879115774</v>
      </c>
      <c r="S75" s="1">
        <f t="shared" si="166"/>
        <v>10.634209879115774</v>
      </c>
      <c r="T75" s="1">
        <f t="shared" si="166"/>
        <v>19.465575747589995</v>
      </c>
      <c r="U75" s="1">
        <f t="shared" si="166"/>
        <v>2.7441952855707088</v>
      </c>
      <c r="V75" s="1">
        <f t="shared" si="166"/>
        <v>14.634730547208049</v>
      </c>
      <c r="X75" s="1" t="s">
        <v>40</v>
      </c>
      <c r="Y75" s="1">
        <f>_xlfn.STDEV.S(Y64:Y73)</f>
        <v>18.475876831462081</v>
      </c>
      <c r="Z75" s="1">
        <f t="shared" ref="Z75:AG75" si="167">_xlfn.STDEV.S(Z64:Z73)</f>
        <v>18.475876831462081</v>
      </c>
      <c r="AA75" s="1">
        <f t="shared" si="167"/>
        <v>6.3245553203367466</v>
      </c>
      <c r="AB75" s="1">
        <f t="shared" si="167"/>
        <v>6.3245553203367466</v>
      </c>
      <c r="AC75" s="1">
        <f t="shared" si="167"/>
        <v>15.190152755675015</v>
      </c>
      <c r="AD75" s="1">
        <f t="shared" si="167"/>
        <v>15.190152755675015</v>
      </c>
      <c r="AE75" s="1">
        <f t="shared" si="167"/>
        <v>17.950243530656095</v>
      </c>
      <c r="AF75" s="1">
        <f t="shared" si="167"/>
        <v>12.801390258642003</v>
      </c>
      <c r="AG75" s="1">
        <f t="shared" si="167"/>
        <v>21.812133413887107</v>
      </c>
      <c r="AI75" s="1" t="s">
        <v>40</v>
      </c>
      <c r="AJ75" s="1">
        <f>_xlfn.STDEV.S(AJ64:AJ73)</f>
        <v>13.4072027813319</v>
      </c>
      <c r="AK75" s="1">
        <f t="shared" ref="AK75:AR75" si="168">_xlfn.STDEV.S(AK64:AK73)</f>
        <v>13.4072027813319</v>
      </c>
      <c r="AL75" s="1">
        <f t="shared" si="168"/>
        <v>12.397729780234087</v>
      </c>
      <c r="AM75" s="1">
        <f t="shared" si="168"/>
        <v>12.397729780234087</v>
      </c>
      <c r="AN75" s="1">
        <f t="shared" si="168"/>
        <v>11.221672153735582</v>
      </c>
      <c r="AO75" s="1">
        <f t="shared" si="168"/>
        <v>11.221672153735582</v>
      </c>
      <c r="AP75" s="1">
        <f t="shared" si="168"/>
        <v>15.637264524101987</v>
      </c>
      <c r="AQ75" s="1">
        <f t="shared" si="168"/>
        <v>17.518351423938618</v>
      </c>
      <c r="AR75" s="1">
        <f t="shared" si="168"/>
        <v>18.084130361576747</v>
      </c>
    </row>
    <row r="78" spans="1:44" x14ac:dyDescent="0.45">
      <c r="A78" t="s">
        <v>17</v>
      </c>
      <c r="C78">
        <v>46.6666666666667</v>
      </c>
      <c r="D78">
        <v>46.6666666666667</v>
      </c>
      <c r="E78">
        <v>100</v>
      </c>
      <c r="F78">
        <v>100</v>
      </c>
      <c r="G78">
        <v>80</v>
      </c>
      <c r="H78">
        <v>80</v>
      </c>
      <c r="I78">
        <v>50.705645161290299</v>
      </c>
      <c r="J78">
        <v>100</v>
      </c>
      <c r="K78">
        <v>94.193548387096797</v>
      </c>
      <c r="N78">
        <v>50</v>
      </c>
      <c r="O78">
        <v>50</v>
      </c>
      <c r="P78">
        <v>93.3333333333333</v>
      </c>
      <c r="Q78">
        <v>93.3333333333333</v>
      </c>
      <c r="R78">
        <v>66.6666666666667</v>
      </c>
      <c r="S78">
        <v>66.6666666666667</v>
      </c>
      <c r="T78">
        <v>38.4677419354839</v>
      </c>
      <c r="U78">
        <v>99.919354838709694</v>
      </c>
      <c r="V78">
        <v>51.451612903225801</v>
      </c>
      <c r="Y78">
        <v>60</v>
      </c>
      <c r="Z78">
        <v>60</v>
      </c>
      <c r="AA78">
        <v>93.3333333333333</v>
      </c>
      <c r="AB78">
        <v>93.3333333333333</v>
      </c>
      <c r="AC78">
        <v>100</v>
      </c>
      <c r="AD78">
        <v>100</v>
      </c>
      <c r="AE78">
        <v>57.741935483871003</v>
      </c>
      <c r="AF78">
        <v>99.919354838709694</v>
      </c>
      <c r="AG78">
        <v>100</v>
      </c>
      <c r="AJ78">
        <v>46.6666666666667</v>
      </c>
      <c r="AK78">
        <v>46.6666666666667</v>
      </c>
      <c r="AL78">
        <v>86.6666666666667</v>
      </c>
      <c r="AM78">
        <v>86.6666666666667</v>
      </c>
      <c r="AN78">
        <v>93.3333333333333</v>
      </c>
      <c r="AO78">
        <v>93.3333333333333</v>
      </c>
      <c r="AP78">
        <v>54.5161290322581</v>
      </c>
      <c r="AQ78">
        <v>94.193548387096797</v>
      </c>
      <c r="AR78">
        <v>99.919354838709694</v>
      </c>
    </row>
    <row r="79" spans="1:44" x14ac:dyDescent="0.45">
      <c r="C79">
        <v>33.3333333333333</v>
      </c>
      <c r="D79">
        <v>33.3333333333333</v>
      </c>
      <c r="E79">
        <v>93.3333333333333</v>
      </c>
      <c r="F79">
        <v>93.3333333333333</v>
      </c>
      <c r="G79">
        <v>86.6666666666667</v>
      </c>
      <c r="H79">
        <v>86.6666666666667</v>
      </c>
      <c r="I79">
        <v>47.620967741935502</v>
      </c>
      <c r="J79">
        <v>58.709677419354797</v>
      </c>
      <c r="K79">
        <v>58.064516129032299</v>
      </c>
      <c r="N79">
        <v>20</v>
      </c>
      <c r="O79">
        <v>20</v>
      </c>
      <c r="P79">
        <v>80</v>
      </c>
      <c r="Q79">
        <v>80</v>
      </c>
      <c r="R79">
        <v>93.3333333333333</v>
      </c>
      <c r="S79">
        <v>93.3333333333333</v>
      </c>
      <c r="T79">
        <v>87.1572580645161</v>
      </c>
      <c r="U79">
        <v>94.677419354838705</v>
      </c>
      <c r="V79">
        <v>94.838709677419402</v>
      </c>
      <c r="Y79">
        <v>40</v>
      </c>
      <c r="Z79">
        <v>40</v>
      </c>
      <c r="AA79">
        <v>93.3333333333333</v>
      </c>
      <c r="AB79">
        <v>93.3333333333333</v>
      </c>
      <c r="AC79">
        <v>86.6666666666667</v>
      </c>
      <c r="AD79">
        <v>86.6666666666667</v>
      </c>
      <c r="AE79">
        <v>43.850806451612897</v>
      </c>
      <c r="AF79">
        <v>99.919354838709694</v>
      </c>
      <c r="AG79">
        <v>99.274193548387103</v>
      </c>
      <c r="AJ79">
        <v>40</v>
      </c>
      <c r="AK79">
        <v>40</v>
      </c>
      <c r="AL79">
        <v>100</v>
      </c>
      <c r="AM79">
        <v>100</v>
      </c>
      <c r="AN79">
        <v>93.3333333333333</v>
      </c>
      <c r="AO79">
        <v>93.3333333333333</v>
      </c>
      <c r="AP79">
        <v>51.149193548387103</v>
      </c>
      <c r="AQ79">
        <v>100</v>
      </c>
      <c r="AR79">
        <v>99.354838709677395</v>
      </c>
    </row>
    <row r="80" spans="1:44" x14ac:dyDescent="0.45">
      <c r="C80">
        <v>50</v>
      </c>
      <c r="D80">
        <v>50</v>
      </c>
      <c r="E80">
        <v>93.3333333333333</v>
      </c>
      <c r="F80">
        <v>93.3333333333333</v>
      </c>
      <c r="G80">
        <v>73.3333333333333</v>
      </c>
      <c r="H80">
        <v>73.3333333333333</v>
      </c>
      <c r="I80">
        <v>56.028225806451601</v>
      </c>
      <c r="J80">
        <v>99.919354838709694</v>
      </c>
      <c r="K80">
        <v>57.338709677419402</v>
      </c>
      <c r="N80">
        <v>53.3333333333333</v>
      </c>
      <c r="O80">
        <v>53.3333333333333</v>
      </c>
      <c r="P80">
        <v>93.3333333333333</v>
      </c>
      <c r="Q80">
        <v>93.3333333333333</v>
      </c>
      <c r="R80">
        <v>86.6666666666667</v>
      </c>
      <c r="S80">
        <v>86.6666666666667</v>
      </c>
      <c r="T80">
        <v>47.419354838709701</v>
      </c>
      <c r="U80">
        <v>99.919354838709694</v>
      </c>
      <c r="V80">
        <v>58.709677419354797</v>
      </c>
      <c r="Y80">
        <v>40</v>
      </c>
      <c r="Z80">
        <v>40</v>
      </c>
      <c r="AA80">
        <v>93.3333333333333</v>
      </c>
      <c r="AB80">
        <v>93.3333333333333</v>
      </c>
      <c r="AC80">
        <v>93.3333333333333</v>
      </c>
      <c r="AD80">
        <v>93.3333333333333</v>
      </c>
      <c r="AE80">
        <v>39.213709677419402</v>
      </c>
      <c r="AF80">
        <v>94.838709677419402</v>
      </c>
      <c r="AG80">
        <v>94.838709677419402</v>
      </c>
      <c r="AJ80">
        <v>60</v>
      </c>
      <c r="AK80">
        <v>60</v>
      </c>
      <c r="AL80">
        <v>86.6666666666667</v>
      </c>
      <c r="AM80">
        <v>86.6666666666667</v>
      </c>
      <c r="AN80">
        <v>93.3333333333333</v>
      </c>
      <c r="AO80">
        <v>93.3333333333333</v>
      </c>
      <c r="AP80">
        <v>94.072580645161295</v>
      </c>
      <c r="AQ80">
        <v>99.274193548387103</v>
      </c>
      <c r="AR80">
        <v>99.919354838709694</v>
      </c>
    </row>
    <row r="81" spans="1:44" x14ac:dyDescent="0.45">
      <c r="C81">
        <v>50</v>
      </c>
      <c r="D81">
        <v>50</v>
      </c>
      <c r="E81">
        <v>100</v>
      </c>
      <c r="F81">
        <v>100</v>
      </c>
      <c r="G81">
        <v>100</v>
      </c>
      <c r="H81">
        <v>100</v>
      </c>
      <c r="I81">
        <v>54.012096774193601</v>
      </c>
      <c r="J81">
        <v>100</v>
      </c>
      <c r="K81">
        <v>100</v>
      </c>
      <c r="N81">
        <v>60</v>
      </c>
      <c r="O81">
        <v>60</v>
      </c>
      <c r="P81">
        <v>100</v>
      </c>
      <c r="Q81">
        <v>100</v>
      </c>
      <c r="R81">
        <v>93.3333333333333</v>
      </c>
      <c r="S81">
        <v>93.3333333333333</v>
      </c>
      <c r="T81">
        <v>72.580645161290306</v>
      </c>
      <c r="U81">
        <v>100</v>
      </c>
      <c r="V81">
        <v>94.838709677419402</v>
      </c>
      <c r="Y81">
        <v>46.6666666666667</v>
      </c>
      <c r="Z81">
        <v>46.6666666666667</v>
      </c>
      <c r="AA81">
        <v>100</v>
      </c>
      <c r="AB81">
        <v>100</v>
      </c>
      <c r="AC81">
        <v>80</v>
      </c>
      <c r="AD81">
        <v>80</v>
      </c>
      <c r="AE81">
        <v>53.548387096774199</v>
      </c>
      <c r="AF81">
        <v>100</v>
      </c>
      <c r="AG81">
        <v>99.112903225806406</v>
      </c>
      <c r="AJ81">
        <v>50</v>
      </c>
      <c r="AK81">
        <v>50</v>
      </c>
      <c r="AL81">
        <v>86.6666666666667</v>
      </c>
      <c r="AM81">
        <v>86.6666666666667</v>
      </c>
      <c r="AN81">
        <v>100</v>
      </c>
      <c r="AO81">
        <v>100</v>
      </c>
      <c r="AP81">
        <v>48.588709677419402</v>
      </c>
      <c r="AQ81">
        <v>99.354838709677395</v>
      </c>
      <c r="AR81">
        <v>100</v>
      </c>
    </row>
    <row r="82" spans="1:44" x14ac:dyDescent="0.45">
      <c r="C82">
        <v>50</v>
      </c>
      <c r="D82">
        <v>50</v>
      </c>
      <c r="E82">
        <v>70</v>
      </c>
      <c r="F82">
        <v>70</v>
      </c>
      <c r="G82">
        <v>86.6666666666667</v>
      </c>
      <c r="H82">
        <v>86.6666666666667</v>
      </c>
      <c r="I82">
        <v>56.935483870967701</v>
      </c>
      <c r="J82">
        <v>89.435483870967701</v>
      </c>
      <c r="K82">
        <v>99.274193548387103</v>
      </c>
      <c r="N82">
        <v>43.3333333333333</v>
      </c>
      <c r="O82">
        <v>43.3333333333333</v>
      </c>
      <c r="P82">
        <v>93.3333333333333</v>
      </c>
      <c r="Q82">
        <v>93.3333333333333</v>
      </c>
      <c r="R82">
        <v>56.6666666666667</v>
      </c>
      <c r="S82">
        <v>56.6666666666667</v>
      </c>
      <c r="T82">
        <v>76.975806451612897</v>
      </c>
      <c r="U82">
        <v>99.919354838709694</v>
      </c>
      <c r="V82">
        <v>78.911290322580598</v>
      </c>
      <c r="Y82">
        <v>40</v>
      </c>
      <c r="Z82">
        <v>40</v>
      </c>
      <c r="AA82">
        <v>86.6666666666667</v>
      </c>
      <c r="AB82">
        <v>86.6666666666667</v>
      </c>
      <c r="AC82">
        <v>60</v>
      </c>
      <c r="AD82">
        <v>60</v>
      </c>
      <c r="AE82">
        <v>47.076612903225801</v>
      </c>
      <c r="AF82">
        <v>99.274193548387103</v>
      </c>
      <c r="AG82">
        <v>56.693548387096797</v>
      </c>
      <c r="AJ82">
        <v>53.3333333333333</v>
      </c>
      <c r="AK82">
        <v>53.3333333333333</v>
      </c>
      <c r="AL82">
        <v>100</v>
      </c>
      <c r="AM82">
        <v>100</v>
      </c>
      <c r="AN82">
        <v>80</v>
      </c>
      <c r="AO82">
        <v>80</v>
      </c>
      <c r="AP82">
        <v>94.193548387096797</v>
      </c>
      <c r="AQ82">
        <v>100</v>
      </c>
      <c r="AR82">
        <v>98.629032258064498</v>
      </c>
    </row>
    <row r="83" spans="1:44" x14ac:dyDescent="0.45">
      <c r="C83">
        <v>43.3333333333333</v>
      </c>
      <c r="D83">
        <v>43.3333333333333</v>
      </c>
      <c r="E83">
        <v>93.3333333333333</v>
      </c>
      <c r="F83">
        <v>93.3333333333333</v>
      </c>
      <c r="G83">
        <v>100</v>
      </c>
      <c r="H83">
        <v>100</v>
      </c>
      <c r="I83">
        <v>47.661290322580598</v>
      </c>
      <c r="J83">
        <v>99.919354838709694</v>
      </c>
      <c r="K83">
        <v>100</v>
      </c>
      <c r="N83">
        <v>20</v>
      </c>
      <c r="O83">
        <v>20</v>
      </c>
      <c r="P83">
        <v>86.6666666666667</v>
      </c>
      <c r="Q83">
        <v>86.6666666666667</v>
      </c>
      <c r="R83">
        <v>60</v>
      </c>
      <c r="S83">
        <v>60</v>
      </c>
      <c r="T83">
        <v>34.254032258064498</v>
      </c>
      <c r="U83">
        <v>94.193548387096797</v>
      </c>
      <c r="V83">
        <v>46.431451612903203</v>
      </c>
      <c r="Y83">
        <v>60</v>
      </c>
      <c r="Z83">
        <v>60</v>
      </c>
      <c r="AA83">
        <v>86.6666666666667</v>
      </c>
      <c r="AB83">
        <v>86.6666666666667</v>
      </c>
      <c r="AC83">
        <v>93.3333333333333</v>
      </c>
      <c r="AD83">
        <v>93.3333333333333</v>
      </c>
      <c r="AE83">
        <v>92.741935483871003</v>
      </c>
      <c r="AF83">
        <v>99.274193548387103</v>
      </c>
      <c r="AG83">
        <v>99.354838709677395</v>
      </c>
      <c r="AJ83">
        <v>40</v>
      </c>
      <c r="AK83">
        <v>40</v>
      </c>
      <c r="AL83">
        <v>80</v>
      </c>
      <c r="AM83">
        <v>80</v>
      </c>
      <c r="AN83">
        <v>86.6666666666667</v>
      </c>
      <c r="AO83">
        <v>86.6666666666667</v>
      </c>
      <c r="AP83">
        <v>55</v>
      </c>
      <c r="AQ83">
        <v>94.112903225806406</v>
      </c>
      <c r="AR83">
        <v>99.274193548387103</v>
      </c>
    </row>
    <row r="84" spans="1:44" x14ac:dyDescent="0.45">
      <c r="C84">
        <v>56.6666666666667</v>
      </c>
      <c r="D84">
        <v>56.6666666666667</v>
      </c>
      <c r="E84">
        <v>93.3333333333333</v>
      </c>
      <c r="F84">
        <v>93.3333333333333</v>
      </c>
      <c r="G84">
        <v>93.3333333333333</v>
      </c>
      <c r="H84">
        <v>93.3333333333333</v>
      </c>
      <c r="I84">
        <v>52.0161290322581</v>
      </c>
      <c r="J84">
        <v>99.919354838709694</v>
      </c>
      <c r="K84">
        <v>99.354838709677395</v>
      </c>
      <c r="N84">
        <v>76.6666666666667</v>
      </c>
      <c r="O84">
        <v>76.6666666666667</v>
      </c>
      <c r="P84">
        <v>93.3333333333333</v>
      </c>
      <c r="Q84">
        <v>93.3333333333333</v>
      </c>
      <c r="R84">
        <v>100</v>
      </c>
      <c r="S84">
        <v>100</v>
      </c>
      <c r="T84">
        <v>48.306451612903203</v>
      </c>
      <c r="U84">
        <v>99.919354838709694</v>
      </c>
      <c r="V84">
        <v>100</v>
      </c>
      <c r="Y84">
        <v>53.3333333333333</v>
      </c>
      <c r="Z84">
        <v>53.3333333333333</v>
      </c>
      <c r="AA84">
        <v>73.3333333333333</v>
      </c>
      <c r="AB84">
        <v>73.3333333333333</v>
      </c>
      <c r="AC84">
        <v>80</v>
      </c>
      <c r="AD84">
        <v>80</v>
      </c>
      <c r="AE84">
        <v>56.048387096774199</v>
      </c>
      <c r="AF84">
        <v>99.677419354838705</v>
      </c>
      <c r="AG84">
        <v>58.629032258064498</v>
      </c>
      <c r="AJ84">
        <v>56.6666666666667</v>
      </c>
      <c r="AK84">
        <v>56.6666666666667</v>
      </c>
      <c r="AL84">
        <v>86.6666666666667</v>
      </c>
      <c r="AM84">
        <v>86.6666666666667</v>
      </c>
      <c r="AN84">
        <v>86.6666666666667</v>
      </c>
      <c r="AO84">
        <v>86.6666666666667</v>
      </c>
      <c r="AP84">
        <v>68.548387096774206</v>
      </c>
      <c r="AQ84">
        <v>99.274193548387103</v>
      </c>
      <c r="AR84">
        <v>99.274193548387103</v>
      </c>
    </row>
    <row r="85" spans="1:44" x14ac:dyDescent="0.45">
      <c r="C85">
        <v>33.3333333333333</v>
      </c>
      <c r="D85">
        <v>33.3333333333333</v>
      </c>
      <c r="E85">
        <v>86.6666666666667</v>
      </c>
      <c r="F85">
        <v>86.6666666666667</v>
      </c>
      <c r="G85">
        <v>86.6666666666667</v>
      </c>
      <c r="H85">
        <v>86.6666666666667</v>
      </c>
      <c r="I85">
        <v>88.709677419354804</v>
      </c>
      <c r="J85">
        <v>99.274193548387103</v>
      </c>
      <c r="K85">
        <v>94.838709677419402</v>
      </c>
      <c r="N85">
        <v>40</v>
      </c>
      <c r="O85">
        <v>40</v>
      </c>
      <c r="P85">
        <v>100</v>
      </c>
      <c r="Q85">
        <v>100</v>
      </c>
      <c r="R85">
        <v>80</v>
      </c>
      <c r="S85">
        <v>80</v>
      </c>
      <c r="T85">
        <v>94.133064516128997</v>
      </c>
      <c r="U85">
        <v>100</v>
      </c>
      <c r="V85">
        <v>99.274193548387103</v>
      </c>
      <c r="Y85">
        <v>33.3333333333333</v>
      </c>
      <c r="Z85">
        <v>33.3333333333333</v>
      </c>
      <c r="AA85">
        <v>93.3333333333333</v>
      </c>
      <c r="AB85">
        <v>93.3333333333333</v>
      </c>
      <c r="AC85">
        <v>93.3333333333333</v>
      </c>
      <c r="AD85">
        <v>93.3333333333333</v>
      </c>
      <c r="AE85">
        <v>69.294354838709694</v>
      </c>
      <c r="AF85">
        <v>99.354838709677395</v>
      </c>
      <c r="AG85">
        <v>99.354838709677395</v>
      </c>
      <c r="AJ85">
        <v>53.3333333333333</v>
      </c>
      <c r="AK85">
        <v>53.3333333333333</v>
      </c>
      <c r="AL85">
        <v>100</v>
      </c>
      <c r="AM85">
        <v>100</v>
      </c>
      <c r="AN85">
        <v>100</v>
      </c>
      <c r="AO85">
        <v>100</v>
      </c>
      <c r="AP85">
        <v>57.7822580645161</v>
      </c>
      <c r="AQ85">
        <v>100</v>
      </c>
      <c r="AR85">
        <v>100</v>
      </c>
    </row>
    <row r="86" spans="1:44" x14ac:dyDescent="0.45">
      <c r="C86">
        <v>26.6666666666667</v>
      </c>
      <c r="D86">
        <v>26.6666666666667</v>
      </c>
      <c r="E86">
        <v>93.3333333333333</v>
      </c>
      <c r="F86">
        <v>93.3333333333333</v>
      </c>
      <c r="G86">
        <v>80</v>
      </c>
      <c r="H86">
        <v>80</v>
      </c>
      <c r="I86">
        <v>47.137096774193601</v>
      </c>
      <c r="J86">
        <v>99.919354838709694</v>
      </c>
      <c r="K86">
        <v>94.758064516128997</v>
      </c>
      <c r="N86">
        <v>60</v>
      </c>
      <c r="O86">
        <v>60</v>
      </c>
      <c r="P86">
        <v>93.3333333333333</v>
      </c>
      <c r="Q86">
        <v>93.3333333333333</v>
      </c>
      <c r="R86">
        <v>86.6666666666667</v>
      </c>
      <c r="S86">
        <v>86.6666666666667</v>
      </c>
      <c r="T86">
        <v>68.790322580645196</v>
      </c>
      <c r="U86">
        <v>99.919354838709694</v>
      </c>
      <c r="V86">
        <v>94.193548387096797</v>
      </c>
      <c r="Y86">
        <v>53.3333333333333</v>
      </c>
      <c r="Z86">
        <v>53.3333333333333</v>
      </c>
      <c r="AA86">
        <v>100</v>
      </c>
      <c r="AB86">
        <v>100</v>
      </c>
      <c r="AC86">
        <v>100</v>
      </c>
      <c r="AD86">
        <v>100</v>
      </c>
      <c r="AE86">
        <v>56.7338709677419</v>
      </c>
      <c r="AF86">
        <v>100</v>
      </c>
      <c r="AG86">
        <v>100</v>
      </c>
      <c r="AJ86">
        <v>53.3333333333333</v>
      </c>
      <c r="AK86">
        <v>53.3333333333333</v>
      </c>
      <c r="AL86">
        <v>100</v>
      </c>
      <c r="AM86">
        <v>100</v>
      </c>
      <c r="AN86">
        <v>70</v>
      </c>
      <c r="AO86">
        <v>70</v>
      </c>
      <c r="AP86">
        <v>68.4677419354839</v>
      </c>
      <c r="AQ86">
        <v>100</v>
      </c>
      <c r="AR86">
        <v>57.903225806451601</v>
      </c>
    </row>
    <row r="87" spans="1:44" x14ac:dyDescent="0.45">
      <c r="C87">
        <v>16.6666666666667</v>
      </c>
      <c r="D87">
        <v>16.6666666666667</v>
      </c>
      <c r="E87">
        <v>100</v>
      </c>
      <c r="F87">
        <v>100</v>
      </c>
      <c r="G87">
        <v>40</v>
      </c>
      <c r="H87">
        <v>40</v>
      </c>
      <c r="I87">
        <v>39.0927419354839</v>
      </c>
      <c r="J87">
        <v>100</v>
      </c>
      <c r="K87">
        <v>87.7822580645161</v>
      </c>
      <c r="N87">
        <v>50</v>
      </c>
      <c r="O87">
        <v>50</v>
      </c>
      <c r="P87">
        <v>86.6666666666667</v>
      </c>
      <c r="Q87">
        <v>86.6666666666667</v>
      </c>
      <c r="R87">
        <v>93.3333333333333</v>
      </c>
      <c r="S87">
        <v>93.3333333333333</v>
      </c>
      <c r="T87">
        <v>43.931451612903203</v>
      </c>
      <c r="U87">
        <v>99.354838709677395</v>
      </c>
      <c r="V87">
        <v>99.919354838709694</v>
      </c>
      <c r="Y87">
        <v>36.6666666666667</v>
      </c>
      <c r="Z87">
        <v>36.6666666666667</v>
      </c>
      <c r="AA87">
        <v>80</v>
      </c>
      <c r="AB87">
        <v>80</v>
      </c>
      <c r="AC87">
        <v>80</v>
      </c>
      <c r="AD87">
        <v>80</v>
      </c>
      <c r="AE87">
        <v>67.298387096774206</v>
      </c>
      <c r="AF87">
        <v>53.4677419354839</v>
      </c>
      <c r="AG87">
        <v>99.274193548387103</v>
      </c>
      <c r="AJ87">
        <v>70</v>
      </c>
      <c r="AK87">
        <v>70</v>
      </c>
      <c r="AL87">
        <v>100</v>
      </c>
      <c r="AM87">
        <v>100</v>
      </c>
      <c r="AN87">
        <v>100</v>
      </c>
      <c r="AO87">
        <v>100</v>
      </c>
      <c r="AP87">
        <v>58.044354838709701</v>
      </c>
      <c r="AQ87">
        <v>100</v>
      </c>
      <c r="AR87">
        <v>100</v>
      </c>
    </row>
    <row r="88" spans="1:44" s="1" customFormat="1" x14ac:dyDescent="0.45">
      <c r="B88" s="1" t="s">
        <v>20</v>
      </c>
      <c r="C88" s="1">
        <f>AVERAGE(C78:C87)</f>
        <v>40.666666666666671</v>
      </c>
      <c r="D88" s="1">
        <f t="shared" ref="D88" si="169">AVERAGE(D78:D87)</f>
        <v>40.666666666666671</v>
      </c>
      <c r="E88" s="1">
        <f t="shared" ref="E88" si="170">AVERAGE(E78:E87)</f>
        <v>92.333333333333314</v>
      </c>
      <c r="F88" s="1">
        <f t="shared" ref="F88" si="171">AVERAGE(F78:F87)</f>
        <v>92.333333333333314</v>
      </c>
      <c r="G88" s="1">
        <f t="shared" ref="G88" si="172">AVERAGE(G78:G87)</f>
        <v>82.666666666666671</v>
      </c>
      <c r="H88" s="1">
        <f t="shared" ref="H88" si="173">AVERAGE(H78:H87)</f>
        <v>82.666666666666671</v>
      </c>
      <c r="I88" s="1">
        <f t="shared" ref="I88" si="174">AVERAGE(I78:I87)</f>
        <v>53.991935483870975</v>
      </c>
      <c r="J88" s="1">
        <f t="shared" ref="J88:K88" si="175">AVERAGE(J78:J87)</f>
        <v>94.709677419354847</v>
      </c>
      <c r="K88" s="1">
        <f t="shared" si="175"/>
        <v>88.560483870967758</v>
      </c>
      <c r="M88" s="1" t="s">
        <v>20</v>
      </c>
      <c r="N88" s="1">
        <f t="shared" ref="N88" si="176">AVERAGE(N78:N87)</f>
        <v>47.333333333333329</v>
      </c>
      <c r="O88" s="1">
        <f t="shared" ref="O88" si="177">AVERAGE(O78:O87)</f>
        <v>47.333333333333329</v>
      </c>
      <c r="P88" s="1">
        <f t="shared" ref="P88" si="178">AVERAGE(P78:P87)</f>
        <v>91.999999999999986</v>
      </c>
      <c r="Q88" s="1">
        <f t="shared" ref="Q88" si="179">AVERAGE(Q78:Q87)</f>
        <v>91.999999999999986</v>
      </c>
      <c r="R88" s="1">
        <f t="shared" ref="R88" si="180">AVERAGE(R78:R87)</f>
        <v>81.666666666666671</v>
      </c>
      <c r="S88" s="1">
        <f t="shared" ref="S88" si="181">AVERAGE(S78:S87)</f>
        <v>81.666666666666671</v>
      </c>
      <c r="T88" s="1">
        <f t="shared" ref="T88" si="182">AVERAGE(T78:T87)</f>
        <v>61.201612903225808</v>
      </c>
      <c r="U88" s="1">
        <f t="shared" ref="U88:V88" si="183">AVERAGE(U78:U87)</f>
        <v>98.782258064516157</v>
      </c>
      <c r="V88" s="1">
        <f t="shared" si="183"/>
        <v>81.85685483870968</v>
      </c>
      <c r="X88" s="1" t="s">
        <v>20</v>
      </c>
      <c r="Y88" s="1">
        <f t="shared" ref="Y88" si="184">AVERAGE(Y78:Y87)</f>
        <v>46.333333333333329</v>
      </c>
      <c r="Z88" s="1">
        <f t="shared" ref="Z88" si="185">AVERAGE(Z78:Z87)</f>
        <v>46.333333333333329</v>
      </c>
      <c r="AA88" s="1">
        <f t="shared" ref="AA88" si="186">AVERAGE(AA78:AA87)</f>
        <v>89.999999999999972</v>
      </c>
      <c r="AB88" s="1">
        <f t="shared" ref="AB88" si="187">AVERAGE(AB78:AB87)</f>
        <v>89.999999999999972</v>
      </c>
      <c r="AC88" s="1">
        <f t="shared" ref="AC88" si="188">AVERAGE(AC78:AC87)</f>
        <v>86.666666666666657</v>
      </c>
      <c r="AD88" s="1">
        <f t="shared" ref="AD88" si="189">AVERAGE(AD78:AD87)</f>
        <v>86.666666666666657</v>
      </c>
      <c r="AE88" s="1">
        <f t="shared" ref="AE88" si="190">AVERAGE(AE78:AE87)</f>
        <v>58.354838709677438</v>
      </c>
      <c r="AF88" s="1">
        <f t="shared" ref="AF88:AG88" si="191">AVERAGE(AF78:AF87)</f>
        <v>94.572580645161295</v>
      </c>
      <c r="AG88" s="1">
        <f t="shared" si="191"/>
        <v>90.653225806451616</v>
      </c>
      <c r="AI88" s="1" t="s">
        <v>20</v>
      </c>
      <c r="AJ88" s="1">
        <f t="shared" ref="AJ88" si="192">AVERAGE(AJ78:AJ87)</f>
        <v>52.333333333333329</v>
      </c>
      <c r="AK88" s="1">
        <f t="shared" ref="AK88" si="193">AVERAGE(AK78:AK87)</f>
        <v>52.333333333333329</v>
      </c>
      <c r="AL88" s="1">
        <f t="shared" ref="AL88" si="194">AVERAGE(AL78:AL87)</f>
        <v>92.666666666666671</v>
      </c>
      <c r="AM88" s="1">
        <f t="shared" ref="AM88" si="195">AVERAGE(AM78:AM87)</f>
        <v>92.666666666666671</v>
      </c>
      <c r="AN88" s="1">
        <f t="shared" ref="AN88" si="196">AVERAGE(AN78:AN87)</f>
        <v>90.333333333333343</v>
      </c>
      <c r="AO88" s="1">
        <f t="shared" ref="AO88" si="197">AVERAGE(AO78:AO87)</f>
        <v>90.333333333333343</v>
      </c>
      <c r="AP88" s="1">
        <f t="shared" ref="AP88" si="198">AVERAGE(AP78:AP87)</f>
        <v>65.036290322580655</v>
      </c>
      <c r="AQ88" s="1">
        <f t="shared" ref="AQ88:AR88" si="199">AVERAGE(AQ78:AQ87)</f>
        <v>98.620967741935473</v>
      </c>
      <c r="AR88" s="1">
        <f t="shared" si="199"/>
        <v>95.427419354838705</v>
      </c>
    </row>
    <row r="89" spans="1:44" x14ac:dyDescent="0.45">
      <c r="B89" s="1" t="s">
        <v>40</v>
      </c>
      <c r="C89" s="1">
        <f>_xlfn.STDEV.S(C78:C87)</f>
        <v>12.649110640673532</v>
      </c>
      <c r="D89" s="1">
        <f t="shared" ref="D89:K89" si="200">_xlfn.STDEV.S(D78:D87)</f>
        <v>12.649110640673532</v>
      </c>
      <c r="E89" s="1">
        <f t="shared" si="200"/>
        <v>8.895830622776927</v>
      </c>
      <c r="F89" s="1">
        <f t="shared" si="200"/>
        <v>8.895830622776927</v>
      </c>
      <c r="G89" s="1">
        <f t="shared" si="200"/>
        <v>17.270541535755932</v>
      </c>
      <c r="H89" s="1">
        <f t="shared" si="200"/>
        <v>17.270541535755932</v>
      </c>
      <c r="I89" s="1">
        <f t="shared" si="200"/>
        <v>13.260122181584556</v>
      </c>
      <c r="J89" s="1">
        <f t="shared" si="200"/>
        <v>13.068951413155698</v>
      </c>
      <c r="K89" s="1">
        <f t="shared" si="200"/>
        <v>16.693289199414572</v>
      </c>
      <c r="M89" s="1" t="s">
        <v>40</v>
      </c>
      <c r="N89" s="1">
        <f>_xlfn.STDEV.S(N78:N87)</f>
        <v>17.624337830131864</v>
      </c>
      <c r="O89" s="1">
        <f t="shared" ref="O89:V89" si="201">_xlfn.STDEV.S(O78:O87)</f>
        <v>17.624337830131864</v>
      </c>
      <c r="P89" s="1">
        <f t="shared" si="201"/>
        <v>6.1262438898178653</v>
      </c>
      <c r="Q89" s="1">
        <f t="shared" si="201"/>
        <v>6.1262438898178653</v>
      </c>
      <c r="R89" s="1">
        <f t="shared" si="201"/>
        <v>15.335748602046868</v>
      </c>
      <c r="S89" s="1">
        <f t="shared" si="201"/>
        <v>15.335748602046868</v>
      </c>
      <c r="T89" s="1">
        <f t="shared" si="201"/>
        <v>21.321786921497086</v>
      </c>
      <c r="U89" s="1">
        <f t="shared" si="201"/>
        <v>2.301317065981527</v>
      </c>
      <c r="V89" s="1">
        <f t="shared" si="201"/>
        <v>21.530207543518433</v>
      </c>
      <c r="X89" s="1" t="s">
        <v>40</v>
      </c>
      <c r="Y89" s="1">
        <f>_xlfn.STDEV.S(Y78:Y87)</f>
        <v>9.7436272303972284</v>
      </c>
      <c r="Z89" s="1">
        <f t="shared" ref="Z89:AG89" si="202">_xlfn.STDEV.S(Z78:Z87)</f>
        <v>9.7436272303972284</v>
      </c>
      <c r="AA89" s="1">
        <f t="shared" si="202"/>
        <v>8.4619701176265636</v>
      </c>
      <c r="AB89" s="1">
        <f t="shared" si="202"/>
        <v>8.4619701176265636</v>
      </c>
      <c r="AC89" s="1">
        <f t="shared" si="202"/>
        <v>12.17161238900367</v>
      </c>
      <c r="AD89" s="1">
        <f t="shared" si="202"/>
        <v>12.17161238900367</v>
      </c>
      <c r="AE89" s="1">
        <f t="shared" si="202"/>
        <v>15.338787175348539</v>
      </c>
      <c r="AF89" s="1">
        <f t="shared" si="202"/>
        <v>14.525487325929205</v>
      </c>
      <c r="AG89" s="1">
        <f t="shared" si="202"/>
        <v>17.456917634327862</v>
      </c>
      <c r="AI89" s="1" t="s">
        <v>40</v>
      </c>
      <c r="AJ89" s="1">
        <f>_xlfn.STDEV.S(AJ78:AJ87)</f>
        <v>9.0335451663012911</v>
      </c>
      <c r="AK89" s="1">
        <f t="shared" ref="AK89:AR89" si="203">_xlfn.STDEV.S(AK78:AK87)</f>
        <v>9.0335451663012911</v>
      </c>
      <c r="AL89" s="1">
        <f t="shared" si="203"/>
        <v>7.9814599982524204</v>
      </c>
      <c r="AM89" s="1">
        <f t="shared" si="203"/>
        <v>7.9814599982524204</v>
      </c>
      <c r="AN89" s="1">
        <f t="shared" si="203"/>
        <v>9.7436272303971876</v>
      </c>
      <c r="AO89" s="1">
        <f t="shared" si="203"/>
        <v>9.7436272303971876</v>
      </c>
      <c r="AP89" s="1">
        <f t="shared" si="203"/>
        <v>16.645469741314209</v>
      </c>
      <c r="AQ89" s="1">
        <f t="shared" si="203"/>
        <v>2.3763957810754337</v>
      </c>
      <c r="AR89" s="1">
        <f t="shared" si="203"/>
        <v>13.192657229063386</v>
      </c>
    </row>
    <row r="91" spans="1:44" x14ac:dyDescent="0.45">
      <c r="A91" t="s">
        <v>18</v>
      </c>
      <c r="C91">
        <v>56.6666666666667</v>
      </c>
      <c r="D91">
        <v>56.6666666666667</v>
      </c>
      <c r="E91">
        <v>86.6666666666667</v>
      </c>
      <c r="F91">
        <v>86.6666666666667</v>
      </c>
      <c r="G91">
        <v>100</v>
      </c>
      <c r="H91">
        <v>100</v>
      </c>
      <c r="I91">
        <v>98.306451612903203</v>
      </c>
      <c r="J91">
        <v>58.629032258064498</v>
      </c>
      <c r="K91">
        <v>100</v>
      </c>
      <c r="N91">
        <v>40</v>
      </c>
      <c r="O91">
        <v>40</v>
      </c>
      <c r="P91">
        <v>100</v>
      </c>
      <c r="Q91">
        <v>100</v>
      </c>
      <c r="R91">
        <v>100</v>
      </c>
      <c r="S91">
        <v>100</v>
      </c>
      <c r="T91">
        <v>88.004032258064498</v>
      </c>
      <c r="U91">
        <v>100</v>
      </c>
      <c r="V91">
        <v>100</v>
      </c>
      <c r="Y91">
        <v>26.6666666666667</v>
      </c>
      <c r="Z91">
        <v>26.6666666666667</v>
      </c>
      <c r="AA91">
        <v>100</v>
      </c>
      <c r="AB91">
        <v>100</v>
      </c>
      <c r="AC91">
        <v>70</v>
      </c>
      <c r="AD91">
        <v>70</v>
      </c>
      <c r="AE91">
        <v>37.258064516128997</v>
      </c>
      <c r="AF91">
        <v>100</v>
      </c>
      <c r="AG91">
        <v>95.947580645161295</v>
      </c>
      <c r="AJ91">
        <v>46.6666666666667</v>
      </c>
      <c r="AK91">
        <v>46.6666666666667</v>
      </c>
      <c r="AL91">
        <v>100</v>
      </c>
      <c r="AM91">
        <v>100</v>
      </c>
      <c r="AN91">
        <v>76.6666666666667</v>
      </c>
      <c r="AO91">
        <v>76.6666666666667</v>
      </c>
      <c r="AP91">
        <v>52.258064516128997</v>
      </c>
      <c r="AQ91">
        <v>100</v>
      </c>
      <c r="AR91">
        <v>94.435483870967701</v>
      </c>
    </row>
    <row r="92" spans="1:44" x14ac:dyDescent="0.45">
      <c r="C92">
        <v>33.3333333333333</v>
      </c>
      <c r="D92">
        <v>33.3333333333333</v>
      </c>
      <c r="E92">
        <v>100</v>
      </c>
      <c r="F92">
        <v>100</v>
      </c>
      <c r="G92">
        <v>86.6666666666667</v>
      </c>
      <c r="H92">
        <v>86.6666666666667</v>
      </c>
      <c r="I92">
        <v>38.366935483871003</v>
      </c>
      <c r="J92">
        <v>100</v>
      </c>
      <c r="K92">
        <v>99.274193548387103</v>
      </c>
      <c r="N92">
        <v>46.6666666666667</v>
      </c>
      <c r="O92">
        <v>46.6666666666667</v>
      </c>
      <c r="P92">
        <v>93.3333333333333</v>
      </c>
      <c r="Q92">
        <v>93.3333333333333</v>
      </c>
      <c r="R92">
        <v>66.6666666666667</v>
      </c>
      <c r="S92">
        <v>66.6666666666667</v>
      </c>
      <c r="T92">
        <v>50.100806451612897</v>
      </c>
      <c r="U92">
        <v>99.354838709677395</v>
      </c>
      <c r="V92">
        <v>47.177419354838698</v>
      </c>
      <c r="Y92">
        <v>63.3333333333333</v>
      </c>
      <c r="Z92">
        <v>63.3333333333333</v>
      </c>
      <c r="AA92">
        <v>93.3333333333333</v>
      </c>
      <c r="AB92">
        <v>93.3333333333333</v>
      </c>
      <c r="AC92">
        <v>86.6666666666667</v>
      </c>
      <c r="AD92">
        <v>86.6666666666667</v>
      </c>
      <c r="AE92">
        <v>46.048387096774199</v>
      </c>
      <c r="AF92">
        <v>99.919354838709694</v>
      </c>
      <c r="AG92">
        <v>58.064516129032299</v>
      </c>
      <c r="AJ92">
        <v>50</v>
      </c>
      <c r="AK92">
        <v>50</v>
      </c>
      <c r="AL92">
        <v>93.3333333333333</v>
      </c>
      <c r="AM92">
        <v>93.3333333333333</v>
      </c>
      <c r="AN92">
        <v>80</v>
      </c>
      <c r="AO92">
        <v>80</v>
      </c>
      <c r="AP92">
        <v>37.177419354838698</v>
      </c>
      <c r="AQ92">
        <v>99.919354838709694</v>
      </c>
      <c r="AR92">
        <v>52.903225806451601</v>
      </c>
    </row>
    <row r="93" spans="1:44" x14ac:dyDescent="0.45">
      <c r="C93">
        <v>76.6666666666667</v>
      </c>
      <c r="D93">
        <v>76.6666666666667</v>
      </c>
      <c r="E93">
        <v>100</v>
      </c>
      <c r="F93">
        <v>100</v>
      </c>
      <c r="G93">
        <v>86.6666666666667</v>
      </c>
      <c r="H93">
        <v>86.6666666666667</v>
      </c>
      <c r="I93">
        <v>93.548387096774206</v>
      </c>
      <c r="J93">
        <v>100</v>
      </c>
      <c r="K93">
        <v>94.193548387096797</v>
      </c>
      <c r="N93">
        <v>53.3333333333333</v>
      </c>
      <c r="O93">
        <v>53.3333333333333</v>
      </c>
      <c r="P93">
        <v>93.3333333333333</v>
      </c>
      <c r="Q93">
        <v>93.3333333333333</v>
      </c>
      <c r="R93">
        <v>70</v>
      </c>
      <c r="S93">
        <v>70</v>
      </c>
      <c r="T93">
        <v>43.185483870967701</v>
      </c>
      <c r="U93">
        <v>58.709677419354797</v>
      </c>
      <c r="V93">
        <v>57.258064516128997</v>
      </c>
      <c r="Y93">
        <v>50</v>
      </c>
      <c r="Z93">
        <v>50</v>
      </c>
      <c r="AA93">
        <v>93.3333333333333</v>
      </c>
      <c r="AB93">
        <v>93.3333333333333</v>
      </c>
      <c r="AC93">
        <v>100</v>
      </c>
      <c r="AD93">
        <v>100</v>
      </c>
      <c r="AE93">
        <v>57.237903225806399</v>
      </c>
      <c r="AF93">
        <v>99.919354838709694</v>
      </c>
      <c r="AG93">
        <v>100</v>
      </c>
      <c r="AJ93">
        <v>56.6666666666667</v>
      </c>
      <c r="AK93">
        <v>56.6666666666667</v>
      </c>
      <c r="AL93">
        <v>100</v>
      </c>
      <c r="AM93">
        <v>100</v>
      </c>
      <c r="AN93">
        <v>93.3333333333333</v>
      </c>
      <c r="AO93">
        <v>93.3333333333333</v>
      </c>
      <c r="AP93">
        <v>46.612903225806399</v>
      </c>
      <c r="AQ93">
        <v>100</v>
      </c>
      <c r="AR93">
        <v>99.354838709677395</v>
      </c>
    </row>
    <row r="94" spans="1:44" x14ac:dyDescent="0.45">
      <c r="C94">
        <v>50</v>
      </c>
      <c r="D94">
        <v>50</v>
      </c>
      <c r="E94">
        <v>100</v>
      </c>
      <c r="F94">
        <v>100</v>
      </c>
      <c r="G94">
        <v>76.6666666666667</v>
      </c>
      <c r="H94">
        <v>76.6666666666667</v>
      </c>
      <c r="I94">
        <v>71.854838709677395</v>
      </c>
      <c r="J94">
        <v>100</v>
      </c>
      <c r="K94">
        <v>72.741935483871003</v>
      </c>
      <c r="N94">
        <v>73.3333333333333</v>
      </c>
      <c r="O94">
        <v>73.3333333333333</v>
      </c>
      <c r="P94">
        <v>100</v>
      </c>
      <c r="Q94">
        <v>100</v>
      </c>
      <c r="R94">
        <v>93.3333333333333</v>
      </c>
      <c r="S94">
        <v>93.3333333333333</v>
      </c>
      <c r="T94">
        <v>55.4838709677419</v>
      </c>
      <c r="U94">
        <v>100</v>
      </c>
      <c r="V94">
        <v>99.919354838709694</v>
      </c>
      <c r="Y94">
        <v>26.6666666666667</v>
      </c>
      <c r="Z94">
        <v>26.6666666666667</v>
      </c>
      <c r="AA94">
        <v>86.6666666666667</v>
      </c>
      <c r="AB94">
        <v>86.6666666666667</v>
      </c>
      <c r="AC94">
        <v>86.6666666666667</v>
      </c>
      <c r="AD94">
        <v>86.6666666666667</v>
      </c>
      <c r="AE94">
        <v>58.4677419354839</v>
      </c>
      <c r="AF94">
        <v>94.838709677419402</v>
      </c>
      <c r="AG94">
        <v>94.838709677419402</v>
      </c>
      <c r="AJ94">
        <v>53.3333333333333</v>
      </c>
      <c r="AK94">
        <v>53.3333333333333</v>
      </c>
      <c r="AL94">
        <v>100</v>
      </c>
      <c r="AM94">
        <v>100</v>
      </c>
      <c r="AN94">
        <v>86.6666666666667</v>
      </c>
      <c r="AO94">
        <v>86.6666666666667</v>
      </c>
      <c r="AP94">
        <v>54.354838709677402</v>
      </c>
      <c r="AQ94">
        <v>100</v>
      </c>
      <c r="AR94">
        <v>94.193548387096797</v>
      </c>
    </row>
    <row r="95" spans="1:44" x14ac:dyDescent="0.45">
      <c r="C95">
        <v>63.3333333333333</v>
      </c>
      <c r="D95">
        <v>63.3333333333333</v>
      </c>
      <c r="E95">
        <v>93.3333333333333</v>
      </c>
      <c r="F95">
        <v>93.3333333333333</v>
      </c>
      <c r="G95">
        <v>83.3333333333333</v>
      </c>
      <c r="H95">
        <v>83.3333333333333</v>
      </c>
      <c r="I95">
        <v>93.790322580645196</v>
      </c>
      <c r="J95">
        <v>99.354838709677395</v>
      </c>
      <c r="K95">
        <v>94.677419354838705</v>
      </c>
      <c r="N95">
        <v>60</v>
      </c>
      <c r="O95">
        <v>60</v>
      </c>
      <c r="P95">
        <v>93.3333333333333</v>
      </c>
      <c r="Q95">
        <v>93.3333333333333</v>
      </c>
      <c r="R95">
        <v>86.6666666666667</v>
      </c>
      <c r="S95">
        <v>86.6666666666667</v>
      </c>
      <c r="T95">
        <v>57.822580645161302</v>
      </c>
      <c r="U95">
        <v>99.919354838709694</v>
      </c>
      <c r="V95">
        <v>99.274193548387103</v>
      </c>
      <c r="Y95">
        <v>43.3333333333333</v>
      </c>
      <c r="Z95">
        <v>43.3333333333333</v>
      </c>
      <c r="AA95">
        <v>100</v>
      </c>
      <c r="AB95">
        <v>100</v>
      </c>
      <c r="AC95">
        <v>86.6666666666667</v>
      </c>
      <c r="AD95">
        <v>86.6666666666667</v>
      </c>
      <c r="AE95">
        <v>94.072580645161295</v>
      </c>
      <c r="AF95">
        <v>100</v>
      </c>
      <c r="AG95">
        <v>94.193548387096797</v>
      </c>
      <c r="AJ95">
        <v>70</v>
      </c>
      <c r="AK95">
        <v>70</v>
      </c>
      <c r="AL95">
        <v>86.6666666666667</v>
      </c>
      <c r="AM95">
        <v>86.6666666666667</v>
      </c>
      <c r="AN95">
        <v>93.3333333333333</v>
      </c>
      <c r="AO95">
        <v>93.3333333333333</v>
      </c>
      <c r="AP95">
        <v>48.387096774193601</v>
      </c>
      <c r="AQ95">
        <v>99.838709677419402</v>
      </c>
      <c r="AR95">
        <v>99.919354838709694</v>
      </c>
    </row>
    <row r="96" spans="1:44" x14ac:dyDescent="0.45">
      <c r="C96">
        <v>66.6666666666667</v>
      </c>
      <c r="D96">
        <v>66.6666666666667</v>
      </c>
      <c r="E96">
        <v>100</v>
      </c>
      <c r="F96">
        <v>100</v>
      </c>
      <c r="G96">
        <v>86.6666666666667</v>
      </c>
      <c r="H96">
        <v>86.6666666666667</v>
      </c>
      <c r="I96">
        <v>50.4838709677419</v>
      </c>
      <c r="J96">
        <v>100</v>
      </c>
      <c r="K96">
        <v>94.193548387096797</v>
      </c>
      <c r="N96">
        <v>46.6666666666667</v>
      </c>
      <c r="O96">
        <v>46.6666666666667</v>
      </c>
      <c r="P96">
        <v>80</v>
      </c>
      <c r="Q96">
        <v>80</v>
      </c>
      <c r="R96">
        <v>86.6666666666667</v>
      </c>
      <c r="S96">
        <v>86.6666666666667</v>
      </c>
      <c r="T96">
        <v>52.479838709677402</v>
      </c>
      <c r="U96">
        <v>99.758064516128997</v>
      </c>
      <c r="V96">
        <v>99.274193548387103</v>
      </c>
      <c r="Y96">
        <v>46.6666666666667</v>
      </c>
      <c r="Z96">
        <v>46.6666666666667</v>
      </c>
      <c r="AA96">
        <v>100</v>
      </c>
      <c r="AB96">
        <v>100</v>
      </c>
      <c r="AC96">
        <v>76.6666666666667</v>
      </c>
      <c r="AD96">
        <v>76.6666666666667</v>
      </c>
      <c r="AE96">
        <v>52.9838709677419</v>
      </c>
      <c r="AF96">
        <v>100</v>
      </c>
      <c r="AG96">
        <v>55.4838709677419</v>
      </c>
      <c r="AJ96">
        <v>63.3333333333333</v>
      </c>
      <c r="AK96">
        <v>63.3333333333333</v>
      </c>
      <c r="AL96">
        <v>93.3333333333333</v>
      </c>
      <c r="AM96">
        <v>93.3333333333333</v>
      </c>
      <c r="AN96">
        <v>86.6666666666667</v>
      </c>
      <c r="AO96">
        <v>86.6666666666667</v>
      </c>
      <c r="AP96">
        <v>56.612903225806399</v>
      </c>
      <c r="AQ96">
        <v>99.919354838709694</v>
      </c>
      <c r="AR96">
        <v>94.758064516128997</v>
      </c>
    </row>
    <row r="97" spans="1:44" x14ac:dyDescent="0.45">
      <c r="C97">
        <v>40</v>
      </c>
      <c r="D97">
        <v>40</v>
      </c>
      <c r="E97">
        <v>86.6666666666667</v>
      </c>
      <c r="F97">
        <v>86.6666666666667</v>
      </c>
      <c r="G97">
        <v>80</v>
      </c>
      <c r="H97">
        <v>80</v>
      </c>
      <c r="I97">
        <v>55.221774193548399</v>
      </c>
      <c r="J97">
        <v>58.709677419354797</v>
      </c>
      <c r="K97">
        <v>58.064516129032299</v>
      </c>
      <c r="N97">
        <v>40</v>
      </c>
      <c r="O97">
        <v>40</v>
      </c>
      <c r="P97">
        <v>100</v>
      </c>
      <c r="Q97">
        <v>100</v>
      </c>
      <c r="R97">
        <v>100</v>
      </c>
      <c r="S97">
        <v>100</v>
      </c>
      <c r="T97">
        <v>88.951612903225794</v>
      </c>
      <c r="U97">
        <v>100</v>
      </c>
      <c r="V97">
        <v>100</v>
      </c>
      <c r="Y97">
        <v>36.6666666666667</v>
      </c>
      <c r="Z97">
        <v>36.6666666666667</v>
      </c>
      <c r="AA97">
        <v>93.3333333333333</v>
      </c>
      <c r="AB97">
        <v>93.3333333333333</v>
      </c>
      <c r="AC97">
        <v>86.6666666666667</v>
      </c>
      <c r="AD97">
        <v>86.6666666666667</v>
      </c>
      <c r="AE97">
        <v>47.3588709677419</v>
      </c>
      <c r="AF97">
        <v>99.354838709677395</v>
      </c>
      <c r="AG97">
        <v>98.709677419354804</v>
      </c>
      <c r="AJ97">
        <v>63.3333333333333</v>
      </c>
      <c r="AK97">
        <v>63.3333333333333</v>
      </c>
      <c r="AL97">
        <v>100</v>
      </c>
      <c r="AM97">
        <v>100</v>
      </c>
      <c r="AN97">
        <v>100</v>
      </c>
      <c r="AO97">
        <v>100</v>
      </c>
      <c r="AP97">
        <v>70.564516129032299</v>
      </c>
      <c r="AQ97">
        <v>100</v>
      </c>
      <c r="AR97">
        <v>100</v>
      </c>
    </row>
    <row r="98" spans="1:44" x14ac:dyDescent="0.45">
      <c r="C98">
        <v>43.3333333333333</v>
      </c>
      <c r="D98">
        <v>43.3333333333333</v>
      </c>
      <c r="E98">
        <v>93.3333333333333</v>
      </c>
      <c r="F98">
        <v>93.3333333333333</v>
      </c>
      <c r="G98">
        <v>53.3333333333333</v>
      </c>
      <c r="H98">
        <v>53.3333333333333</v>
      </c>
      <c r="I98">
        <v>46.754032258064498</v>
      </c>
      <c r="J98">
        <v>94.838709677419402</v>
      </c>
      <c r="K98">
        <v>47.822580645161302</v>
      </c>
      <c r="N98">
        <v>56.6666666666667</v>
      </c>
      <c r="O98">
        <v>56.6666666666667</v>
      </c>
      <c r="P98">
        <v>100</v>
      </c>
      <c r="Q98">
        <v>100</v>
      </c>
      <c r="R98">
        <v>86.6666666666667</v>
      </c>
      <c r="S98">
        <v>86.6666666666667</v>
      </c>
      <c r="T98">
        <v>53.790322580645203</v>
      </c>
      <c r="U98">
        <v>100</v>
      </c>
      <c r="V98">
        <v>58.629032258064498</v>
      </c>
      <c r="Y98">
        <v>53.3333333333333</v>
      </c>
      <c r="Z98">
        <v>53.3333333333333</v>
      </c>
      <c r="AA98">
        <v>100</v>
      </c>
      <c r="AB98">
        <v>100</v>
      </c>
      <c r="AC98">
        <v>86.6666666666667</v>
      </c>
      <c r="AD98">
        <v>86.6666666666667</v>
      </c>
      <c r="AE98">
        <v>52.419354838709701</v>
      </c>
      <c r="AF98">
        <v>100</v>
      </c>
      <c r="AG98">
        <v>94.758064516128997</v>
      </c>
      <c r="AJ98">
        <v>33.3333333333333</v>
      </c>
      <c r="AK98">
        <v>33.3333333333333</v>
      </c>
      <c r="AL98">
        <v>93.3333333333333</v>
      </c>
      <c r="AM98">
        <v>93.3333333333333</v>
      </c>
      <c r="AN98">
        <v>73.3333333333333</v>
      </c>
      <c r="AO98">
        <v>73.3333333333333</v>
      </c>
      <c r="AP98">
        <v>35.2822580645161</v>
      </c>
      <c r="AQ98">
        <v>99.919354838709694</v>
      </c>
      <c r="AR98">
        <v>94.0322580645161</v>
      </c>
    </row>
    <row r="99" spans="1:44" x14ac:dyDescent="0.45">
      <c r="C99">
        <v>30</v>
      </c>
      <c r="D99">
        <v>30</v>
      </c>
      <c r="E99">
        <v>93.3333333333333</v>
      </c>
      <c r="F99">
        <v>93.3333333333333</v>
      </c>
      <c r="G99">
        <v>66.6666666666667</v>
      </c>
      <c r="H99">
        <v>66.6666666666667</v>
      </c>
      <c r="I99">
        <v>52.802419354838698</v>
      </c>
      <c r="J99">
        <v>99.919354838709694</v>
      </c>
      <c r="K99">
        <v>93.689516129032299</v>
      </c>
      <c r="N99">
        <v>40</v>
      </c>
      <c r="O99">
        <v>40</v>
      </c>
      <c r="P99">
        <v>93.3333333333333</v>
      </c>
      <c r="Q99">
        <v>93.3333333333333</v>
      </c>
      <c r="R99">
        <v>100</v>
      </c>
      <c r="S99">
        <v>100</v>
      </c>
      <c r="T99">
        <v>55.4838709677419</v>
      </c>
      <c r="U99">
        <v>94.838709677419402</v>
      </c>
      <c r="V99">
        <v>100</v>
      </c>
      <c r="Y99">
        <v>63.3333333333333</v>
      </c>
      <c r="Z99">
        <v>63.3333333333333</v>
      </c>
      <c r="AA99">
        <v>93.3333333333333</v>
      </c>
      <c r="AB99">
        <v>93.3333333333333</v>
      </c>
      <c r="AC99">
        <v>93.3333333333333</v>
      </c>
      <c r="AD99">
        <v>93.3333333333333</v>
      </c>
      <c r="AE99">
        <v>52.096774193548399</v>
      </c>
      <c r="AF99">
        <v>94.838709677419402</v>
      </c>
      <c r="AG99">
        <v>99.354838709677395</v>
      </c>
      <c r="AJ99">
        <v>43.3333333333333</v>
      </c>
      <c r="AK99">
        <v>43.3333333333333</v>
      </c>
      <c r="AL99">
        <v>86.6666666666667</v>
      </c>
      <c r="AM99">
        <v>86.6666666666667</v>
      </c>
      <c r="AN99">
        <v>80</v>
      </c>
      <c r="AO99">
        <v>80</v>
      </c>
      <c r="AP99">
        <v>47.661290322580598</v>
      </c>
      <c r="AQ99">
        <v>99.274193548387103</v>
      </c>
      <c r="AR99">
        <v>94.112903225806406</v>
      </c>
    </row>
    <row r="100" spans="1:44" x14ac:dyDescent="0.45">
      <c r="C100">
        <v>33.3333333333333</v>
      </c>
      <c r="D100">
        <v>33.3333333333333</v>
      </c>
      <c r="E100">
        <v>100</v>
      </c>
      <c r="F100">
        <v>100</v>
      </c>
      <c r="G100">
        <v>100</v>
      </c>
      <c r="H100">
        <v>100</v>
      </c>
      <c r="I100">
        <v>91.451612903225794</v>
      </c>
      <c r="J100">
        <v>100</v>
      </c>
      <c r="K100">
        <v>100</v>
      </c>
      <c r="N100">
        <v>50</v>
      </c>
      <c r="O100">
        <v>50</v>
      </c>
      <c r="P100">
        <v>93.3333333333333</v>
      </c>
      <c r="Q100">
        <v>93.3333333333333</v>
      </c>
      <c r="R100">
        <v>76.6666666666667</v>
      </c>
      <c r="S100">
        <v>76.6666666666667</v>
      </c>
      <c r="T100">
        <v>54.354838709677402</v>
      </c>
      <c r="U100">
        <v>99.354838709677395</v>
      </c>
      <c r="V100">
        <v>94.596774193548399</v>
      </c>
      <c r="Y100">
        <v>40</v>
      </c>
      <c r="Z100">
        <v>40</v>
      </c>
      <c r="AA100">
        <v>100</v>
      </c>
      <c r="AB100">
        <v>100</v>
      </c>
      <c r="AC100">
        <v>73.3333333333333</v>
      </c>
      <c r="AD100">
        <v>73.3333333333333</v>
      </c>
      <c r="AE100">
        <v>52.903225806451601</v>
      </c>
      <c r="AF100">
        <v>100</v>
      </c>
      <c r="AG100">
        <v>94.677419354838705</v>
      </c>
      <c r="AJ100">
        <v>46.6666666666667</v>
      </c>
      <c r="AK100">
        <v>46.6666666666667</v>
      </c>
      <c r="AL100">
        <v>86.6666666666667</v>
      </c>
      <c r="AM100">
        <v>86.6666666666667</v>
      </c>
      <c r="AN100">
        <v>86.6666666666667</v>
      </c>
      <c r="AO100">
        <v>86.6666666666667</v>
      </c>
      <c r="AP100">
        <v>52.620967741935502</v>
      </c>
      <c r="AQ100">
        <v>94.838709677419402</v>
      </c>
      <c r="AR100">
        <v>99.274193548387103</v>
      </c>
    </row>
    <row r="101" spans="1:44" s="1" customFormat="1" x14ac:dyDescent="0.45">
      <c r="B101" s="1" t="s">
        <v>20</v>
      </c>
      <c r="C101" s="1">
        <f>AVERAGE(C91:C100)</f>
        <v>49.333333333333329</v>
      </c>
      <c r="D101" s="1">
        <f t="shared" ref="D101" si="204">AVERAGE(D91:D100)</f>
        <v>49.333333333333329</v>
      </c>
      <c r="E101" s="1">
        <f t="shared" ref="E101" si="205">AVERAGE(E91:E100)</f>
        <v>95.333333333333329</v>
      </c>
      <c r="F101" s="1">
        <f t="shared" ref="F101" si="206">AVERAGE(F91:F100)</f>
        <v>95.333333333333329</v>
      </c>
      <c r="G101" s="1">
        <f t="shared" ref="G101" si="207">AVERAGE(G91:G100)</f>
        <v>82.000000000000014</v>
      </c>
      <c r="H101" s="1">
        <f t="shared" ref="H101" si="208">AVERAGE(H91:H100)</f>
        <v>82.000000000000014</v>
      </c>
      <c r="I101" s="1">
        <f t="shared" ref="I101" si="209">AVERAGE(I91:I100)</f>
        <v>69.258064516129025</v>
      </c>
      <c r="J101" s="1">
        <f t="shared" ref="J101:K101" si="210">AVERAGE(J91:J100)</f>
        <v>91.145161290322591</v>
      </c>
      <c r="K101" s="1">
        <f t="shared" si="210"/>
        <v>85.46572580645163</v>
      </c>
      <c r="M101" s="1" t="s">
        <v>20</v>
      </c>
      <c r="N101" s="1">
        <f t="shared" ref="N101" si="211">AVERAGE(N91:N100)</f>
        <v>50.666666666666671</v>
      </c>
      <c r="O101" s="1">
        <f t="shared" ref="O101" si="212">AVERAGE(O91:O100)</f>
        <v>50.666666666666671</v>
      </c>
      <c r="P101" s="1">
        <f t="shared" ref="P101" si="213">AVERAGE(P91:P100)</f>
        <v>94.666666666666657</v>
      </c>
      <c r="Q101" s="1">
        <f t="shared" ref="Q101" si="214">AVERAGE(Q91:Q100)</f>
        <v>94.666666666666657</v>
      </c>
      <c r="R101" s="1">
        <f t="shared" ref="R101" si="215">AVERAGE(R91:R100)</f>
        <v>86.666666666666686</v>
      </c>
      <c r="S101" s="1">
        <f t="shared" ref="S101" si="216">AVERAGE(S91:S100)</f>
        <v>86.666666666666686</v>
      </c>
      <c r="T101" s="1">
        <f t="shared" ref="T101" si="217">AVERAGE(T91:T100)</f>
        <v>59.965725806451601</v>
      </c>
      <c r="U101" s="1">
        <f t="shared" ref="U101:V101" si="218">AVERAGE(U91:U100)</f>
        <v>95.193548387096769</v>
      </c>
      <c r="V101" s="1">
        <f t="shared" si="218"/>
        <v>85.612903225806448</v>
      </c>
      <c r="X101" s="1" t="s">
        <v>20</v>
      </c>
      <c r="Y101" s="1">
        <f t="shared" ref="Y101" si="219">AVERAGE(Y91:Y100)</f>
        <v>45</v>
      </c>
      <c r="Z101" s="1">
        <f t="shared" ref="Z101" si="220">AVERAGE(Z91:Z100)</f>
        <v>45</v>
      </c>
      <c r="AA101" s="1">
        <f t="shared" ref="AA101" si="221">AVERAGE(AA91:AA100)</f>
        <v>95.999999999999972</v>
      </c>
      <c r="AB101" s="1">
        <f t="shared" ref="AB101" si="222">AVERAGE(AB91:AB100)</f>
        <v>95.999999999999972</v>
      </c>
      <c r="AC101" s="1">
        <f t="shared" ref="AC101" si="223">AVERAGE(AC91:AC100)</f>
        <v>84.666666666666671</v>
      </c>
      <c r="AD101" s="1">
        <f t="shared" ref="AD101" si="224">AVERAGE(AD91:AD100)</f>
        <v>84.666666666666671</v>
      </c>
      <c r="AE101" s="1">
        <f t="shared" ref="AE101" si="225">AVERAGE(AE91:AE100)</f>
        <v>55.084677419354833</v>
      </c>
      <c r="AF101" s="1">
        <f t="shared" ref="AF101:AG101" si="226">AVERAGE(AF91:AF100)</f>
        <v>98.887096774193566</v>
      </c>
      <c r="AG101" s="1">
        <f t="shared" si="226"/>
        <v>88.602822580645153</v>
      </c>
      <c r="AI101" s="1" t="s">
        <v>20</v>
      </c>
      <c r="AJ101" s="1">
        <f t="shared" ref="AJ101" si="227">AVERAGE(AJ91:AJ100)</f>
        <v>52.666666666666664</v>
      </c>
      <c r="AK101" s="1">
        <f t="shared" ref="AK101" si="228">AVERAGE(AK91:AK100)</f>
        <v>52.666666666666664</v>
      </c>
      <c r="AL101" s="1">
        <f t="shared" ref="AL101" si="229">AVERAGE(AL91:AL100)</f>
        <v>94</v>
      </c>
      <c r="AM101" s="1">
        <f t="shared" ref="AM101" si="230">AVERAGE(AM91:AM100)</f>
        <v>94</v>
      </c>
      <c r="AN101" s="1">
        <f t="shared" ref="AN101" si="231">AVERAGE(AN91:AN100)</f>
        <v>85.666666666666671</v>
      </c>
      <c r="AO101" s="1">
        <f t="shared" ref="AO101" si="232">AVERAGE(AO91:AO100)</f>
        <v>85.666666666666671</v>
      </c>
      <c r="AP101" s="1">
        <f t="shared" ref="AP101" si="233">AVERAGE(AP91:AP100)</f>
        <v>50.153225806451601</v>
      </c>
      <c r="AQ101" s="1">
        <f t="shared" ref="AQ101:AR101" si="234">AVERAGE(AQ91:AQ100)</f>
        <v>99.370967741935502</v>
      </c>
      <c r="AR101" s="1">
        <f t="shared" si="234"/>
        <v>92.298387096774178</v>
      </c>
    </row>
    <row r="102" spans="1:44" x14ac:dyDescent="0.45">
      <c r="B102" s="1" t="s">
        <v>40</v>
      </c>
      <c r="C102" s="1">
        <f>_xlfn.STDEV.S(C91:C100)</f>
        <v>16.009256581624793</v>
      </c>
      <c r="D102" s="1">
        <f t="shared" ref="D102:K102" si="235">_xlfn.STDEV.S(D91:D100)</f>
        <v>16.009256581624793</v>
      </c>
      <c r="E102" s="1">
        <f t="shared" si="235"/>
        <v>5.4884840156570904</v>
      </c>
      <c r="F102" s="1">
        <f t="shared" si="235"/>
        <v>5.4884840156570904</v>
      </c>
      <c r="G102" s="1">
        <f t="shared" si="235"/>
        <v>14.15958428628791</v>
      </c>
      <c r="H102" s="1">
        <f t="shared" si="235"/>
        <v>14.15958428628791</v>
      </c>
      <c r="I102" s="1">
        <f t="shared" si="235"/>
        <v>23.132292108672392</v>
      </c>
      <c r="J102" s="1">
        <f t="shared" si="235"/>
        <v>17.189879708390805</v>
      </c>
      <c r="K102" s="1">
        <f t="shared" si="235"/>
        <v>18.996278416039051</v>
      </c>
      <c r="M102" s="1" t="s">
        <v>40</v>
      </c>
      <c r="N102" s="1">
        <f>_xlfn.STDEV.S(N91:N100)</f>
        <v>10.634209879115907</v>
      </c>
      <c r="O102" s="1">
        <f t="shared" ref="O102:V102" si="236">_xlfn.STDEV.S(O91:O100)</f>
        <v>10.634209879115907</v>
      </c>
      <c r="P102" s="1">
        <f t="shared" si="236"/>
        <v>6.1262438898178804</v>
      </c>
      <c r="Q102" s="1">
        <f t="shared" si="236"/>
        <v>6.1262438898178804</v>
      </c>
      <c r="R102" s="1">
        <f t="shared" si="236"/>
        <v>12.272623352430188</v>
      </c>
      <c r="S102" s="1">
        <f t="shared" si="236"/>
        <v>12.272623352430188</v>
      </c>
      <c r="T102" s="1">
        <f t="shared" si="236"/>
        <v>15.547935604892448</v>
      </c>
      <c r="U102" s="1">
        <f t="shared" si="236"/>
        <v>12.915999501640343</v>
      </c>
      <c r="V102" s="1">
        <f t="shared" si="236"/>
        <v>21.830214672161951</v>
      </c>
      <c r="X102" s="1" t="s">
        <v>40</v>
      </c>
      <c r="Y102" s="1">
        <f>_xlfn.STDEV.S(Y91:Y100)</f>
        <v>13.076224773266443</v>
      </c>
      <c r="Z102" s="1">
        <f t="shared" ref="Z102:AG102" si="237">_xlfn.STDEV.S(Z91:Z100)</f>
        <v>13.076224773266443</v>
      </c>
      <c r="AA102" s="1">
        <f t="shared" si="237"/>
        <v>4.6613726585340078</v>
      </c>
      <c r="AB102" s="1">
        <f t="shared" si="237"/>
        <v>4.6613726585340078</v>
      </c>
      <c r="AC102" s="1">
        <f t="shared" si="237"/>
        <v>9.0540216833169804</v>
      </c>
      <c r="AD102" s="1">
        <f t="shared" si="237"/>
        <v>9.0540216833169804</v>
      </c>
      <c r="AE102" s="1">
        <f t="shared" si="237"/>
        <v>14.983222059631947</v>
      </c>
      <c r="AF102" s="1">
        <f t="shared" si="237"/>
        <v>2.1427277543260974</v>
      </c>
      <c r="AG102" s="1">
        <f t="shared" si="237"/>
        <v>16.918033898032235</v>
      </c>
      <c r="AI102" s="1" t="s">
        <v>40</v>
      </c>
      <c r="AJ102" s="1">
        <f>_xlfn.STDEV.S(AJ91:AJ100)</f>
        <v>10.976968031314161</v>
      </c>
      <c r="AK102" s="1">
        <f t="shared" ref="AK102:AR102" si="238">_xlfn.STDEV.S(AK91:AK100)</f>
        <v>10.976968031314161</v>
      </c>
      <c r="AL102" s="1">
        <f t="shared" si="238"/>
        <v>5.8373002384727419</v>
      </c>
      <c r="AM102" s="1">
        <f t="shared" si="238"/>
        <v>5.8373002384727419</v>
      </c>
      <c r="AN102" s="1">
        <f t="shared" si="238"/>
        <v>8.3222148049217761</v>
      </c>
      <c r="AO102" s="1">
        <f t="shared" si="238"/>
        <v>8.3222148049217761</v>
      </c>
      <c r="AP102" s="1">
        <f t="shared" si="238"/>
        <v>9.9883372271978832</v>
      </c>
      <c r="AQ102" s="1">
        <f t="shared" si="238"/>
        <v>1.6074279827167153</v>
      </c>
      <c r="AR102" s="1">
        <f t="shared" si="238"/>
        <v>14.096239522188169</v>
      </c>
    </row>
    <row r="104" spans="1:44" x14ac:dyDescent="0.45">
      <c r="A104" t="s">
        <v>19</v>
      </c>
      <c r="C104">
        <v>50</v>
      </c>
      <c r="D104">
        <v>50</v>
      </c>
      <c r="E104">
        <v>93.3333333333333</v>
      </c>
      <c r="F104">
        <v>93.3333333333333</v>
      </c>
      <c r="G104">
        <v>93.3333333333333</v>
      </c>
      <c r="H104">
        <v>93.3333333333333</v>
      </c>
      <c r="I104">
        <v>57.0161290322581</v>
      </c>
      <c r="J104">
        <v>99.354838709677395</v>
      </c>
      <c r="K104">
        <v>58.709677419354797</v>
      </c>
      <c r="N104">
        <v>36.6666666666667</v>
      </c>
      <c r="O104">
        <v>36.6666666666667</v>
      </c>
      <c r="P104">
        <v>93.3333333333333</v>
      </c>
      <c r="Q104">
        <v>93.3333333333333</v>
      </c>
      <c r="R104">
        <v>73.3333333333333</v>
      </c>
      <c r="S104">
        <v>73.3333333333333</v>
      </c>
      <c r="T104">
        <v>93.4677419354839</v>
      </c>
      <c r="U104">
        <v>99.919354838709694</v>
      </c>
      <c r="V104">
        <v>99.193548387096797</v>
      </c>
      <c r="Y104">
        <v>80</v>
      </c>
      <c r="Z104">
        <v>80</v>
      </c>
      <c r="AA104">
        <v>93.3333333333333</v>
      </c>
      <c r="AB104">
        <v>93.3333333333333</v>
      </c>
      <c r="AC104">
        <v>100</v>
      </c>
      <c r="AD104">
        <v>100</v>
      </c>
      <c r="AE104">
        <v>94.112903225806406</v>
      </c>
      <c r="AF104">
        <v>99.919354838709694</v>
      </c>
      <c r="AG104">
        <v>100</v>
      </c>
      <c r="AJ104">
        <v>26.6666666666667</v>
      </c>
      <c r="AK104">
        <v>26.6666666666667</v>
      </c>
      <c r="AL104">
        <v>93.3333333333333</v>
      </c>
      <c r="AM104">
        <v>93.3333333333333</v>
      </c>
      <c r="AN104">
        <v>86.6666666666667</v>
      </c>
      <c r="AO104">
        <v>86.6666666666667</v>
      </c>
      <c r="AP104">
        <v>38.790322580645203</v>
      </c>
      <c r="AQ104">
        <v>99.919354838709694</v>
      </c>
      <c r="AR104">
        <v>94.193548387096797</v>
      </c>
    </row>
    <row r="105" spans="1:44" x14ac:dyDescent="0.45">
      <c r="C105">
        <v>36.6666666666667</v>
      </c>
      <c r="D105">
        <v>36.6666666666667</v>
      </c>
      <c r="E105">
        <v>100</v>
      </c>
      <c r="F105">
        <v>100</v>
      </c>
      <c r="G105">
        <v>100</v>
      </c>
      <c r="H105">
        <v>100</v>
      </c>
      <c r="I105">
        <v>92.7822580645161</v>
      </c>
      <c r="J105">
        <v>100</v>
      </c>
      <c r="K105">
        <v>100</v>
      </c>
      <c r="N105">
        <v>53.3333333333333</v>
      </c>
      <c r="O105">
        <v>53.3333333333333</v>
      </c>
      <c r="P105">
        <v>100</v>
      </c>
      <c r="Q105">
        <v>100</v>
      </c>
      <c r="R105">
        <v>80</v>
      </c>
      <c r="S105">
        <v>80</v>
      </c>
      <c r="T105">
        <v>43.790322580645203</v>
      </c>
      <c r="U105">
        <v>100</v>
      </c>
      <c r="V105">
        <v>98.709677419354804</v>
      </c>
      <c r="Y105">
        <v>53.3333333333333</v>
      </c>
      <c r="Z105">
        <v>53.3333333333333</v>
      </c>
      <c r="AA105">
        <v>93.3333333333333</v>
      </c>
      <c r="AB105">
        <v>93.3333333333333</v>
      </c>
      <c r="AC105">
        <v>93.3333333333333</v>
      </c>
      <c r="AD105">
        <v>93.3333333333333</v>
      </c>
      <c r="AE105">
        <v>52.419354838709701</v>
      </c>
      <c r="AF105">
        <v>99.919354838709694</v>
      </c>
      <c r="AG105">
        <v>99.919354838709694</v>
      </c>
      <c r="AJ105">
        <v>46.6666666666667</v>
      </c>
      <c r="AK105">
        <v>46.6666666666667</v>
      </c>
      <c r="AL105">
        <v>100</v>
      </c>
      <c r="AM105">
        <v>100</v>
      </c>
      <c r="AN105">
        <v>93.3333333333333</v>
      </c>
      <c r="AO105">
        <v>93.3333333333333</v>
      </c>
      <c r="AP105">
        <v>97.661290322580598</v>
      </c>
      <c r="AQ105">
        <v>100</v>
      </c>
      <c r="AR105">
        <v>99.919354838709694</v>
      </c>
    </row>
    <row r="106" spans="1:44" x14ac:dyDescent="0.45">
      <c r="C106">
        <v>43.3333333333333</v>
      </c>
      <c r="D106">
        <v>43.3333333333333</v>
      </c>
      <c r="E106">
        <v>86.6666666666667</v>
      </c>
      <c r="F106">
        <v>86.6666666666667</v>
      </c>
      <c r="G106">
        <v>93.3333333333333</v>
      </c>
      <c r="H106">
        <v>93.3333333333333</v>
      </c>
      <c r="I106">
        <v>98.4072580645161</v>
      </c>
      <c r="J106">
        <v>99.274193548387103</v>
      </c>
      <c r="K106">
        <v>99.919354838709694</v>
      </c>
      <c r="N106">
        <v>70</v>
      </c>
      <c r="O106">
        <v>70</v>
      </c>
      <c r="P106">
        <v>93.3333333333333</v>
      </c>
      <c r="Q106">
        <v>93.3333333333333</v>
      </c>
      <c r="R106">
        <v>86.6666666666667</v>
      </c>
      <c r="S106">
        <v>86.6666666666667</v>
      </c>
      <c r="T106">
        <v>93.931451612903203</v>
      </c>
      <c r="U106">
        <v>99.919354838709694</v>
      </c>
      <c r="V106">
        <v>94.838709677419402</v>
      </c>
      <c r="Y106">
        <v>33.3333333333333</v>
      </c>
      <c r="Z106">
        <v>33.3333333333333</v>
      </c>
      <c r="AA106">
        <v>93.3333333333333</v>
      </c>
      <c r="AB106">
        <v>93.3333333333333</v>
      </c>
      <c r="AC106">
        <v>100</v>
      </c>
      <c r="AD106">
        <v>100</v>
      </c>
      <c r="AE106">
        <v>42.096774193548399</v>
      </c>
      <c r="AF106">
        <v>99.919354838709694</v>
      </c>
      <c r="AG106">
        <v>100</v>
      </c>
      <c r="AJ106">
        <v>50</v>
      </c>
      <c r="AK106">
        <v>50</v>
      </c>
      <c r="AL106">
        <v>76.6666666666667</v>
      </c>
      <c r="AM106">
        <v>76.6666666666667</v>
      </c>
      <c r="AN106">
        <v>86.6666666666667</v>
      </c>
      <c r="AO106">
        <v>86.6666666666667</v>
      </c>
      <c r="AP106">
        <v>50.866935483871003</v>
      </c>
      <c r="AQ106">
        <v>93.548387096774206</v>
      </c>
      <c r="AR106">
        <v>94.758064516128997</v>
      </c>
    </row>
    <row r="107" spans="1:44" x14ac:dyDescent="0.45">
      <c r="C107">
        <v>36.6666666666667</v>
      </c>
      <c r="D107">
        <v>36.6666666666667</v>
      </c>
      <c r="E107">
        <v>93.3333333333333</v>
      </c>
      <c r="F107">
        <v>93.3333333333333</v>
      </c>
      <c r="G107">
        <v>86.6666666666667</v>
      </c>
      <c r="H107">
        <v>86.6666666666667</v>
      </c>
      <c r="I107">
        <v>87.379032258064498</v>
      </c>
      <c r="J107">
        <v>99.919354838709694</v>
      </c>
      <c r="K107">
        <v>94.758064516128997</v>
      </c>
      <c r="N107">
        <v>60</v>
      </c>
      <c r="O107">
        <v>60</v>
      </c>
      <c r="P107">
        <v>93.3333333333333</v>
      </c>
      <c r="Q107">
        <v>93.3333333333333</v>
      </c>
      <c r="R107">
        <v>93.3333333333333</v>
      </c>
      <c r="S107">
        <v>93.3333333333333</v>
      </c>
      <c r="T107">
        <v>45.645161290322598</v>
      </c>
      <c r="U107">
        <v>99.919354838709694</v>
      </c>
      <c r="V107">
        <v>94.838709677419402</v>
      </c>
      <c r="Y107">
        <v>30</v>
      </c>
      <c r="Z107">
        <v>30</v>
      </c>
      <c r="AA107">
        <v>93.3333333333333</v>
      </c>
      <c r="AB107">
        <v>93.3333333333333</v>
      </c>
      <c r="AC107">
        <v>63.3333333333333</v>
      </c>
      <c r="AD107">
        <v>63.3333333333333</v>
      </c>
      <c r="AE107">
        <v>44.536290322580598</v>
      </c>
      <c r="AF107">
        <v>99.919354838709694</v>
      </c>
      <c r="AG107">
        <v>93.346774193548399</v>
      </c>
      <c r="AJ107">
        <v>33.3333333333333</v>
      </c>
      <c r="AK107">
        <v>33.3333333333333</v>
      </c>
      <c r="AL107">
        <v>100</v>
      </c>
      <c r="AM107">
        <v>100</v>
      </c>
      <c r="AN107">
        <v>66.6666666666667</v>
      </c>
      <c r="AO107">
        <v>66.6666666666667</v>
      </c>
      <c r="AP107">
        <v>44.979838709677402</v>
      </c>
      <c r="AQ107">
        <v>100</v>
      </c>
      <c r="AR107">
        <v>57.338709677419402</v>
      </c>
    </row>
    <row r="108" spans="1:44" x14ac:dyDescent="0.45">
      <c r="C108">
        <v>70</v>
      </c>
      <c r="D108">
        <v>70</v>
      </c>
      <c r="E108">
        <v>100</v>
      </c>
      <c r="F108">
        <v>100</v>
      </c>
      <c r="G108">
        <v>83.3333333333333</v>
      </c>
      <c r="H108">
        <v>83.3333333333333</v>
      </c>
      <c r="I108">
        <v>94.516129032258107</v>
      </c>
      <c r="J108">
        <v>100</v>
      </c>
      <c r="K108">
        <v>94.677419354838705</v>
      </c>
      <c r="N108">
        <v>13.3333333333333</v>
      </c>
      <c r="O108">
        <v>13.3333333333333</v>
      </c>
      <c r="P108">
        <v>93.3333333333333</v>
      </c>
      <c r="Q108">
        <v>93.3333333333333</v>
      </c>
      <c r="R108">
        <v>93.3333333333333</v>
      </c>
      <c r="S108">
        <v>93.3333333333333</v>
      </c>
      <c r="T108">
        <v>85.584677419354804</v>
      </c>
      <c r="U108">
        <v>99.354838709677395</v>
      </c>
      <c r="V108">
        <v>99.354838709677395</v>
      </c>
      <c r="Y108">
        <v>33.3333333333333</v>
      </c>
      <c r="Z108">
        <v>33.3333333333333</v>
      </c>
      <c r="AA108">
        <v>100</v>
      </c>
      <c r="AB108">
        <v>100</v>
      </c>
      <c r="AC108">
        <v>100</v>
      </c>
      <c r="AD108">
        <v>100</v>
      </c>
      <c r="AE108">
        <v>54.475806451612897</v>
      </c>
      <c r="AF108">
        <v>100</v>
      </c>
      <c r="AG108">
        <v>100</v>
      </c>
      <c r="AJ108">
        <v>73.3333333333333</v>
      </c>
      <c r="AK108">
        <v>73.3333333333333</v>
      </c>
      <c r="AL108">
        <v>100</v>
      </c>
      <c r="AM108">
        <v>100</v>
      </c>
      <c r="AN108">
        <v>93.3333333333333</v>
      </c>
      <c r="AO108">
        <v>93.3333333333333</v>
      </c>
      <c r="AP108">
        <v>53.387096774193601</v>
      </c>
      <c r="AQ108">
        <v>100</v>
      </c>
      <c r="AR108">
        <v>58.709677419354797</v>
      </c>
    </row>
    <row r="109" spans="1:44" x14ac:dyDescent="0.45">
      <c r="C109">
        <v>53.3333333333333</v>
      </c>
      <c r="D109">
        <v>53.3333333333333</v>
      </c>
      <c r="E109">
        <v>100</v>
      </c>
      <c r="F109">
        <v>100</v>
      </c>
      <c r="G109">
        <v>86.6666666666667</v>
      </c>
      <c r="H109">
        <v>86.6666666666667</v>
      </c>
      <c r="I109">
        <v>43.629032258064498</v>
      </c>
      <c r="J109">
        <v>100</v>
      </c>
      <c r="K109">
        <v>53.548387096774199</v>
      </c>
      <c r="N109">
        <v>40</v>
      </c>
      <c r="O109">
        <v>40</v>
      </c>
      <c r="P109">
        <v>100</v>
      </c>
      <c r="Q109">
        <v>100</v>
      </c>
      <c r="R109">
        <v>80</v>
      </c>
      <c r="S109">
        <v>80</v>
      </c>
      <c r="T109">
        <v>68.286290322580598</v>
      </c>
      <c r="U109">
        <v>100</v>
      </c>
      <c r="V109">
        <v>94.112903225806406</v>
      </c>
      <c r="Y109">
        <v>33.3333333333333</v>
      </c>
      <c r="Z109">
        <v>33.3333333333333</v>
      </c>
      <c r="AA109">
        <v>93.3333333333333</v>
      </c>
      <c r="AB109">
        <v>93.3333333333333</v>
      </c>
      <c r="AC109">
        <v>93.3333333333333</v>
      </c>
      <c r="AD109">
        <v>93.3333333333333</v>
      </c>
      <c r="AE109">
        <v>53.850806451612897</v>
      </c>
      <c r="AF109">
        <v>99.354838709677395</v>
      </c>
      <c r="AG109">
        <v>99.354838709677395</v>
      </c>
      <c r="AJ109">
        <v>26.6666666666667</v>
      </c>
      <c r="AK109">
        <v>26.6666666666667</v>
      </c>
      <c r="AL109">
        <v>100</v>
      </c>
      <c r="AM109">
        <v>100</v>
      </c>
      <c r="AN109">
        <v>86.6666666666667</v>
      </c>
      <c r="AO109">
        <v>86.6666666666667</v>
      </c>
      <c r="AP109">
        <v>50.060483870967701</v>
      </c>
      <c r="AQ109">
        <v>100</v>
      </c>
      <c r="AR109">
        <v>58.064516129032299</v>
      </c>
    </row>
    <row r="110" spans="1:44" x14ac:dyDescent="0.45">
      <c r="C110">
        <v>40</v>
      </c>
      <c r="D110">
        <v>40</v>
      </c>
      <c r="E110">
        <v>100</v>
      </c>
      <c r="F110">
        <v>100</v>
      </c>
      <c r="G110">
        <v>73.3333333333333</v>
      </c>
      <c r="H110">
        <v>73.3333333333333</v>
      </c>
      <c r="I110">
        <v>42.741935483871003</v>
      </c>
      <c r="J110">
        <v>100</v>
      </c>
      <c r="K110">
        <v>89.0322580645161</v>
      </c>
      <c r="N110">
        <v>36.6666666666667</v>
      </c>
      <c r="O110">
        <v>36.6666666666667</v>
      </c>
      <c r="P110">
        <v>100</v>
      </c>
      <c r="Q110">
        <v>100</v>
      </c>
      <c r="R110">
        <v>73.3333333333333</v>
      </c>
      <c r="S110">
        <v>73.3333333333333</v>
      </c>
      <c r="T110">
        <v>43.669354838709701</v>
      </c>
      <c r="U110">
        <v>100</v>
      </c>
      <c r="V110">
        <v>93.4677419354839</v>
      </c>
      <c r="Y110">
        <v>63.3333333333333</v>
      </c>
      <c r="Z110">
        <v>63.3333333333333</v>
      </c>
      <c r="AA110">
        <v>100</v>
      </c>
      <c r="AB110">
        <v>100</v>
      </c>
      <c r="AC110">
        <v>86.6666666666667</v>
      </c>
      <c r="AD110">
        <v>86.6666666666667</v>
      </c>
      <c r="AE110">
        <v>55.322580645161302</v>
      </c>
      <c r="AF110">
        <v>100</v>
      </c>
      <c r="AG110">
        <v>58.709677419354797</v>
      </c>
      <c r="AJ110">
        <v>30</v>
      </c>
      <c r="AK110">
        <v>30</v>
      </c>
      <c r="AL110">
        <v>93.3333333333333</v>
      </c>
      <c r="AM110">
        <v>93.3333333333333</v>
      </c>
      <c r="AN110">
        <v>63.3333333333333</v>
      </c>
      <c r="AO110">
        <v>63.3333333333333</v>
      </c>
      <c r="AP110">
        <v>44.0927419354839</v>
      </c>
      <c r="AQ110">
        <v>99.919354838709694</v>
      </c>
      <c r="AR110">
        <v>87.661290322580598</v>
      </c>
    </row>
    <row r="111" spans="1:44" x14ac:dyDescent="0.45">
      <c r="C111">
        <v>40</v>
      </c>
      <c r="D111">
        <v>40</v>
      </c>
      <c r="E111">
        <v>86.6666666666667</v>
      </c>
      <c r="F111">
        <v>86.6666666666667</v>
      </c>
      <c r="G111">
        <v>93.3333333333333</v>
      </c>
      <c r="H111">
        <v>93.3333333333333</v>
      </c>
      <c r="I111">
        <v>87.681451612903203</v>
      </c>
      <c r="J111">
        <v>99.274193548387103</v>
      </c>
      <c r="K111">
        <v>99.354838709677395</v>
      </c>
      <c r="N111">
        <v>43.3333333333333</v>
      </c>
      <c r="O111">
        <v>43.3333333333333</v>
      </c>
      <c r="P111">
        <v>86.6666666666667</v>
      </c>
      <c r="Q111">
        <v>86.6666666666667</v>
      </c>
      <c r="R111">
        <v>80</v>
      </c>
      <c r="S111">
        <v>80</v>
      </c>
      <c r="T111">
        <v>56.491935483871003</v>
      </c>
      <c r="U111">
        <v>99.274193548387103</v>
      </c>
      <c r="V111">
        <v>94.677419354838705</v>
      </c>
      <c r="Y111">
        <v>73.3333333333333</v>
      </c>
      <c r="Z111">
        <v>73.3333333333333</v>
      </c>
      <c r="AA111">
        <v>93.3333333333333</v>
      </c>
      <c r="AB111">
        <v>93.3333333333333</v>
      </c>
      <c r="AC111">
        <v>93.3333333333333</v>
      </c>
      <c r="AD111">
        <v>93.3333333333333</v>
      </c>
      <c r="AE111">
        <v>52.822580645161302</v>
      </c>
      <c r="AF111">
        <v>99.919354838709694</v>
      </c>
      <c r="AG111">
        <v>99.919354838709694</v>
      </c>
      <c r="AJ111">
        <v>40</v>
      </c>
      <c r="AK111">
        <v>40</v>
      </c>
      <c r="AL111">
        <v>93.3333333333333</v>
      </c>
      <c r="AM111">
        <v>93.3333333333333</v>
      </c>
      <c r="AN111">
        <v>93.3333333333333</v>
      </c>
      <c r="AO111">
        <v>93.3333333333333</v>
      </c>
      <c r="AP111">
        <v>86.995967741935502</v>
      </c>
      <c r="AQ111">
        <v>99.919354838709694</v>
      </c>
      <c r="AR111">
        <v>99.919354838709694</v>
      </c>
    </row>
    <row r="112" spans="1:44" x14ac:dyDescent="0.45">
      <c r="C112">
        <v>33.3333333333333</v>
      </c>
      <c r="D112">
        <v>33.3333333333333</v>
      </c>
      <c r="E112">
        <v>93.3333333333333</v>
      </c>
      <c r="F112">
        <v>93.3333333333333</v>
      </c>
      <c r="G112">
        <v>93.3333333333333</v>
      </c>
      <c r="H112">
        <v>93.3333333333333</v>
      </c>
      <c r="I112">
        <v>91.169354838709694</v>
      </c>
      <c r="J112">
        <v>94.838709677419402</v>
      </c>
      <c r="K112">
        <v>99.354838709677395</v>
      </c>
      <c r="N112">
        <v>53.3333333333333</v>
      </c>
      <c r="O112">
        <v>53.3333333333333</v>
      </c>
      <c r="P112">
        <v>93.3333333333333</v>
      </c>
      <c r="Q112">
        <v>93.3333333333333</v>
      </c>
      <c r="R112">
        <v>86.6666666666667</v>
      </c>
      <c r="S112">
        <v>86.6666666666667</v>
      </c>
      <c r="T112">
        <v>59.737903225806399</v>
      </c>
      <c r="U112">
        <v>99.919354838709694</v>
      </c>
      <c r="V112">
        <v>99.274193548387103</v>
      </c>
      <c r="Y112">
        <v>63.3333333333333</v>
      </c>
      <c r="Z112">
        <v>63.3333333333333</v>
      </c>
      <c r="AA112">
        <v>93.3333333333333</v>
      </c>
      <c r="AB112">
        <v>93.3333333333333</v>
      </c>
      <c r="AC112">
        <v>83.3333333333333</v>
      </c>
      <c r="AD112">
        <v>83.3333333333333</v>
      </c>
      <c r="AE112">
        <v>97.903225806451601</v>
      </c>
      <c r="AF112">
        <v>99.919354838709694</v>
      </c>
      <c r="AG112">
        <v>99.193548387096797</v>
      </c>
      <c r="AJ112">
        <v>46.6666666666667</v>
      </c>
      <c r="AK112">
        <v>46.6666666666667</v>
      </c>
      <c r="AL112">
        <v>93.3333333333333</v>
      </c>
      <c r="AM112">
        <v>93.3333333333333</v>
      </c>
      <c r="AN112">
        <v>66.6666666666667</v>
      </c>
      <c r="AO112">
        <v>66.6666666666667</v>
      </c>
      <c r="AP112">
        <v>46.431451612903203</v>
      </c>
      <c r="AQ112">
        <v>99.919354838709694</v>
      </c>
      <c r="AR112">
        <v>72.177419354838705</v>
      </c>
    </row>
    <row r="113" spans="1:44" x14ac:dyDescent="0.45">
      <c r="C113">
        <v>56.6666666666667</v>
      </c>
      <c r="D113">
        <v>56.6666666666667</v>
      </c>
      <c r="E113">
        <v>100</v>
      </c>
      <c r="F113">
        <v>100</v>
      </c>
      <c r="G113">
        <v>100</v>
      </c>
      <c r="H113">
        <v>100</v>
      </c>
      <c r="I113">
        <v>69.294354838709694</v>
      </c>
      <c r="J113">
        <v>100</v>
      </c>
      <c r="K113">
        <v>100</v>
      </c>
      <c r="N113">
        <v>23.3333333333333</v>
      </c>
      <c r="O113">
        <v>23.3333333333333</v>
      </c>
      <c r="P113">
        <v>100</v>
      </c>
      <c r="Q113">
        <v>100</v>
      </c>
      <c r="R113">
        <v>86.6666666666667</v>
      </c>
      <c r="S113">
        <v>86.6666666666667</v>
      </c>
      <c r="T113">
        <v>92.358870967741893</v>
      </c>
      <c r="U113">
        <v>100</v>
      </c>
      <c r="V113">
        <v>99.838709677419402</v>
      </c>
      <c r="Y113">
        <v>43.3333333333333</v>
      </c>
      <c r="Z113">
        <v>43.3333333333333</v>
      </c>
      <c r="AA113">
        <v>100</v>
      </c>
      <c r="AB113">
        <v>100</v>
      </c>
      <c r="AC113">
        <v>80</v>
      </c>
      <c r="AD113">
        <v>80</v>
      </c>
      <c r="AE113">
        <v>44.354838709677402</v>
      </c>
      <c r="AF113">
        <v>100</v>
      </c>
      <c r="AG113">
        <v>96.612903225806406</v>
      </c>
      <c r="AJ113">
        <v>43.3333333333333</v>
      </c>
      <c r="AK113">
        <v>43.3333333333333</v>
      </c>
      <c r="AL113">
        <v>93.3333333333333</v>
      </c>
      <c r="AM113">
        <v>93.3333333333333</v>
      </c>
      <c r="AN113">
        <v>73.3333333333333</v>
      </c>
      <c r="AO113">
        <v>73.3333333333333</v>
      </c>
      <c r="AP113">
        <v>46.270161290322598</v>
      </c>
      <c r="AQ113">
        <v>99.354838709677395</v>
      </c>
      <c r="AR113">
        <v>93.4677419354839</v>
      </c>
    </row>
    <row r="114" spans="1:44" s="1" customFormat="1" x14ac:dyDescent="0.45">
      <c r="B114" s="1" t="s">
        <v>20</v>
      </c>
      <c r="C114" s="1">
        <f>AVERAGE(C104:C113)</f>
        <v>46</v>
      </c>
      <c r="D114" s="1">
        <f t="shared" ref="D114" si="239">AVERAGE(D104:D113)</f>
        <v>46</v>
      </c>
      <c r="E114" s="1">
        <f t="shared" ref="E114" si="240">AVERAGE(E104:E113)</f>
        <v>95.333333333333329</v>
      </c>
      <c r="F114" s="1">
        <f t="shared" ref="F114" si="241">AVERAGE(F104:F113)</f>
        <v>95.333333333333329</v>
      </c>
      <c r="G114" s="1">
        <f t="shared" ref="G114" si="242">AVERAGE(G104:G113)</f>
        <v>90.333333333333314</v>
      </c>
      <c r="H114" s="1">
        <f t="shared" ref="H114" si="243">AVERAGE(H104:H113)</f>
        <v>90.333333333333314</v>
      </c>
      <c r="I114" s="1">
        <f t="shared" ref="I114" si="244">AVERAGE(I104:I113)</f>
        <v>76.461693548387103</v>
      </c>
      <c r="J114" s="1">
        <f t="shared" ref="J114:K114" si="245">AVERAGE(J104:J113)</f>
        <v>99.266129032258064</v>
      </c>
      <c r="K114" s="1">
        <f t="shared" si="245"/>
        <v>88.935483870967744</v>
      </c>
      <c r="M114" s="1" t="s">
        <v>20</v>
      </c>
      <c r="N114" s="1">
        <f t="shared" ref="N114" si="246">AVERAGE(N104:N113)</f>
        <v>42.999999999999993</v>
      </c>
      <c r="O114" s="1">
        <f t="shared" ref="O114" si="247">AVERAGE(O104:O113)</f>
        <v>42.999999999999993</v>
      </c>
      <c r="P114" s="1">
        <f t="shared" ref="P114" si="248">AVERAGE(P104:P113)</f>
        <v>95.333333333333329</v>
      </c>
      <c r="Q114" s="1">
        <f t="shared" ref="Q114" si="249">AVERAGE(Q104:Q113)</f>
        <v>95.333333333333329</v>
      </c>
      <c r="R114" s="1">
        <f t="shared" ref="R114" si="250">AVERAGE(R104:R113)</f>
        <v>83.333333333333343</v>
      </c>
      <c r="S114" s="1">
        <f t="shared" ref="S114" si="251">AVERAGE(S104:S113)</f>
        <v>83.333333333333343</v>
      </c>
      <c r="T114" s="1">
        <f t="shared" ref="T114" si="252">AVERAGE(T104:T113)</f>
        <v>68.296370967741922</v>
      </c>
      <c r="U114" s="1">
        <f t="shared" ref="U114:V114" si="253">AVERAGE(U104:U113)</f>
        <v>99.83064516129032</v>
      </c>
      <c r="V114" s="1">
        <f t="shared" si="253"/>
        <v>96.83064516129032</v>
      </c>
      <c r="X114" s="1" t="s">
        <v>20</v>
      </c>
      <c r="Y114" s="1">
        <f t="shared" ref="Y114" si="254">AVERAGE(Y104:Y113)</f>
        <v>50.66666666666665</v>
      </c>
      <c r="Z114" s="1">
        <f t="shared" ref="Z114" si="255">AVERAGE(Z104:Z113)</f>
        <v>50.66666666666665</v>
      </c>
      <c r="AA114" s="1">
        <f t="shared" ref="AA114" si="256">AVERAGE(AA104:AA113)</f>
        <v>95.3333333333333</v>
      </c>
      <c r="AB114" s="1">
        <f t="shared" ref="AB114" si="257">AVERAGE(AB104:AB113)</f>
        <v>95.3333333333333</v>
      </c>
      <c r="AC114" s="1">
        <f t="shared" ref="AC114" si="258">AVERAGE(AC104:AC113)</f>
        <v>89.333333333333314</v>
      </c>
      <c r="AD114" s="1">
        <f t="shared" ref="AD114" si="259">AVERAGE(AD104:AD113)</f>
        <v>89.333333333333314</v>
      </c>
      <c r="AE114" s="1">
        <f t="shared" ref="AE114" si="260">AVERAGE(AE104:AE113)</f>
        <v>59.189516129032256</v>
      </c>
      <c r="AF114" s="1">
        <f t="shared" ref="AF114:AG114" si="261">AVERAGE(AF104:AF113)</f>
        <v>99.887096774193566</v>
      </c>
      <c r="AG114" s="1">
        <f t="shared" si="261"/>
        <v>94.70564516129032</v>
      </c>
      <c r="AI114" s="1" t="s">
        <v>20</v>
      </c>
      <c r="AJ114" s="1">
        <f t="shared" ref="AJ114" si="262">AVERAGE(AJ104:AJ113)</f>
        <v>41.666666666666671</v>
      </c>
      <c r="AK114" s="1">
        <f t="shared" ref="AK114" si="263">AVERAGE(AK104:AK113)</f>
        <v>41.666666666666671</v>
      </c>
      <c r="AL114" s="1">
        <f t="shared" ref="AL114" si="264">AVERAGE(AL104:AL113)</f>
        <v>94.3333333333333</v>
      </c>
      <c r="AM114" s="1">
        <f t="shared" ref="AM114" si="265">AVERAGE(AM104:AM113)</f>
        <v>94.3333333333333</v>
      </c>
      <c r="AN114" s="1">
        <f t="shared" ref="AN114" si="266">AVERAGE(AN104:AN113)</f>
        <v>80.999999999999986</v>
      </c>
      <c r="AO114" s="1">
        <f t="shared" ref="AO114" si="267">AVERAGE(AO104:AO113)</f>
        <v>80.999999999999986</v>
      </c>
      <c r="AP114" s="1">
        <f t="shared" ref="AP114" si="268">AVERAGE(AP104:AP113)</f>
        <v>55.953629032258064</v>
      </c>
      <c r="AQ114" s="1">
        <f t="shared" ref="AQ114:AR114" si="269">AVERAGE(AQ104:AQ113)</f>
        <v>99.258064516129053</v>
      </c>
      <c r="AR114" s="1">
        <f t="shared" si="269"/>
        <v>81.620967741935473</v>
      </c>
    </row>
    <row r="115" spans="1:44" x14ac:dyDescent="0.45">
      <c r="B115" s="1" t="s">
        <v>40</v>
      </c>
      <c r="C115" s="1">
        <f>_xlfn.STDEV.S(C104:C113)</f>
        <v>11.417984514369016</v>
      </c>
      <c r="D115" s="1">
        <f t="shared" ref="D115:K115" si="270">_xlfn.STDEV.S(D104:D113)</f>
        <v>11.417984514369016</v>
      </c>
      <c r="E115" s="1">
        <f t="shared" si="270"/>
        <v>5.4884840156570904</v>
      </c>
      <c r="F115" s="1">
        <f t="shared" si="270"/>
        <v>5.4884840156570904</v>
      </c>
      <c r="G115" s="1">
        <f t="shared" si="270"/>
        <v>8.0813762426525262</v>
      </c>
      <c r="H115" s="1">
        <f t="shared" si="270"/>
        <v>8.0813762426525262</v>
      </c>
      <c r="I115" s="1">
        <f t="shared" si="270"/>
        <v>21.550520178619141</v>
      </c>
      <c r="J115" s="1">
        <f t="shared" si="270"/>
        <v>1.5891849260966535</v>
      </c>
      <c r="K115" s="1">
        <f t="shared" si="270"/>
        <v>17.686611363641589</v>
      </c>
      <c r="M115" s="1" t="s">
        <v>40</v>
      </c>
      <c r="N115" s="1">
        <f>_xlfn.STDEV.S(N104:N113)</f>
        <v>16.956735068919691</v>
      </c>
      <c r="O115" s="1">
        <f t="shared" ref="O115:V115" si="271">_xlfn.STDEV.S(O104:O113)</f>
        <v>16.956735068919691</v>
      </c>
      <c r="P115" s="1">
        <f t="shared" si="271"/>
        <v>4.4996570514036875</v>
      </c>
      <c r="Q115" s="1">
        <f t="shared" si="271"/>
        <v>4.4996570514036875</v>
      </c>
      <c r="R115" s="1">
        <f t="shared" si="271"/>
        <v>7.2008229982309615</v>
      </c>
      <c r="S115" s="1">
        <f t="shared" si="271"/>
        <v>7.2008229982309615</v>
      </c>
      <c r="T115" s="1">
        <f t="shared" si="271"/>
        <v>21.347262436817619</v>
      </c>
      <c r="U115" s="1">
        <f t="shared" si="271"/>
        <v>0.27532446514128234</v>
      </c>
      <c r="V115" s="1">
        <f t="shared" si="271"/>
        <v>2.6198439829665663</v>
      </c>
      <c r="X115" s="1" t="s">
        <v>40</v>
      </c>
      <c r="Y115" s="1">
        <f>_xlfn.STDEV.S(Y104:Y113)</f>
        <v>18.512591644140883</v>
      </c>
      <c r="Z115" s="1">
        <f t="shared" ref="Z115:AG115" si="272">_xlfn.STDEV.S(Z104:Z113)</f>
        <v>18.512591644140883</v>
      </c>
      <c r="AA115" s="1">
        <f t="shared" si="272"/>
        <v>3.2203059435976691</v>
      </c>
      <c r="AB115" s="1">
        <f t="shared" si="272"/>
        <v>3.2203059435976691</v>
      </c>
      <c r="AC115" s="1">
        <f t="shared" si="272"/>
        <v>11.525602204346644</v>
      </c>
      <c r="AD115" s="1">
        <f t="shared" si="272"/>
        <v>11.525602204346644</v>
      </c>
      <c r="AE115" s="1">
        <f t="shared" si="272"/>
        <v>19.992742605963588</v>
      </c>
      <c r="AF115" s="1">
        <f t="shared" si="272"/>
        <v>0.19084128332580347</v>
      </c>
      <c r="AG115" s="1">
        <f t="shared" si="272"/>
        <v>12.829680215985293</v>
      </c>
      <c r="AI115" s="1" t="s">
        <v>40</v>
      </c>
      <c r="AJ115" s="1">
        <f>_xlfn.STDEV.S(AJ104:AJ113)</f>
        <v>14.076510510355471</v>
      </c>
      <c r="AK115" s="1">
        <f t="shared" ref="AK115:AR115" si="273">_xlfn.STDEV.S(AK104:AK113)</f>
        <v>14.076510510355471</v>
      </c>
      <c r="AL115" s="1">
        <f t="shared" si="273"/>
        <v>7.0360623106611326</v>
      </c>
      <c r="AM115" s="1">
        <f t="shared" si="273"/>
        <v>7.0360623106611326</v>
      </c>
      <c r="AN115" s="1">
        <f t="shared" si="273"/>
        <v>12.176682838042311</v>
      </c>
      <c r="AO115" s="1">
        <f t="shared" si="273"/>
        <v>12.176682838042311</v>
      </c>
      <c r="AP115" s="1">
        <f t="shared" si="273"/>
        <v>19.749744632066871</v>
      </c>
      <c r="AQ115" s="1">
        <f t="shared" si="273"/>
        <v>2.0155196211589388</v>
      </c>
      <c r="AR115" s="1">
        <f t="shared" si="273"/>
        <v>18.060973554968424</v>
      </c>
    </row>
    <row r="118" spans="1:44" x14ac:dyDescent="0.45">
      <c r="C118" t="s">
        <v>1</v>
      </c>
      <c r="N118" t="s">
        <v>10</v>
      </c>
      <c r="Y118" t="s">
        <v>11</v>
      </c>
      <c r="AJ118" t="s">
        <v>12</v>
      </c>
    </row>
    <row r="119" spans="1:44" x14ac:dyDescent="0.45">
      <c r="B119" t="s">
        <v>22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25</v>
      </c>
      <c r="N119" t="s">
        <v>2</v>
      </c>
      <c r="O119" t="s">
        <v>3</v>
      </c>
      <c r="P119" t="s">
        <v>4</v>
      </c>
      <c r="Q119" t="s">
        <v>5</v>
      </c>
      <c r="R119" t="s">
        <v>6</v>
      </c>
      <c r="S119" t="s">
        <v>7</v>
      </c>
      <c r="T119" t="s">
        <v>8</v>
      </c>
      <c r="U119" t="s">
        <v>9</v>
      </c>
      <c r="V119" t="s">
        <v>25</v>
      </c>
      <c r="Y119" t="s">
        <v>2</v>
      </c>
      <c r="Z119" t="s">
        <v>3</v>
      </c>
      <c r="AA119" t="s">
        <v>4</v>
      </c>
      <c r="AB119" t="s">
        <v>5</v>
      </c>
      <c r="AC119" t="s">
        <v>6</v>
      </c>
      <c r="AD119" t="s">
        <v>7</v>
      </c>
      <c r="AE119" t="s">
        <v>8</v>
      </c>
      <c r="AF119" t="s">
        <v>9</v>
      </c>
      <c r="AG119" t="s">
        <v>25</v>
      </c>
      <c r="AJ119" t="s">
        <v>2</v>
      </c>
      <c r="AK119" t="s">
        <v>3</v>
      </c>
      <c r="AL119" t="s">
        <v>4</v>
      </c>
      <c r="AM119" t="s">
        <v>5</v>
      </c>
      <c r="AN119" t="s">
        <v>6</v>
      </c>
      <c r="AO119" t="s">
        <v>7</v>
      </c>
      <c r="AP119" t="s">
        <v>8</v>
      </c>
      <c r="AQ119" t="s">
        <v>9</v>
      </c>
      <c r="AR119" t="s">
        <v>25</v>
      </c>
    </row>
    <row r="120" spans="1:44" ht="15.75" x14ac:dyDescent="0.5">
      <c r="A120" s="2" t="s">
        <v>21</v>
      </c>
      <c r="B120">
        <v>1</v>
      </c>
      <c r="C120">
        <f>C13</f>
        <v>40.666666666666671</v>
      </c>
      <c r="D120">
        <f t="shared" ref="D120:K120" si="274">D13</f>
        <v>40.666666666666671</v>
      </c>
      <c r="E120">
        <f t="shared" si="274"/>
        <v>15.666666666666675</v>
      </c>
      <c r="F120">
        <f t="shared" si="274"/>
        <v>15.666666666666675</v>
      </c>
      <c r="G120">
        <f t="shared" si="274"/>
        <v>51.666666666666664</v>
      </c>
      <c r="H120">
        <f t="shared" si="274"/>
        <v>51.666666666666664</v>
      </c>
      <c r="I120">
        <f t="shared" si="274"/>
        <v>64.570564516129053</v>
      </c>
      <c r="J120">
        <f t="shared" si="274"/>
        <v>51.247983870967758</v>
      </c>
      <c r="K120">
        <f t="shared" si="274"/>
        <v>70.947580645161295</v>
      </c>
      <c r="N120">
        <f>N13</f>
        <v>52</v>
      </c>
      <c r="O120">
        <f t="shared" ref="O120:U120" si="275">O13</f>
        <v>52</v>
      </c>
      <c r="P120">
        <f t="shared" si="275"/>
        <v>14.999999999999989</v>
      </c>
      <c r="Q120">
        <f t="shared" si="275"/>
        <v>14.999999999999989</v>
      </c>
      <c r="R120">
        <f t="shared" si="275"/>
        <v>59</v>
      </c>
      <c r="S120">
        <f t="shared" si="275"/>
        <v>59</v>
      </c>
      <c r="T120">
        <f t="shared" si="275"/>
        <v>63.616935483870975</v>
      </c>
      <c r="U120">
        <f t="shared" si="275"/>
        <v>45.493951612903224</v>
      </c>
      <c r="V120">
        <f t="shared" ref="V120" si="276">V13</f>
        <v>60.086693548387089</v>
      </c>
      <c r="Y120">
        <f>Y13</f>
        <v>51.333333333333329</v>
      </c>
      <c r="Z120">
        <f t="shared" ref="Z120:AF120" si="277">Z13</f>
        <v>51.333333333333329</v>
      </c>
      <c r="AA120">
        <f t="shared" si="277"/>
        <v>20.666666666666668</v>
      </c>
      <c r="AB120">
        <f t="shared" si="277"/>
        <v>20.666666666666668</v>
      </c>
      <c r="AC120">
        <f t="shared" si="277"/>
        <v>57.333333333333336</v>
      </c>
      <c r="AD120">
        <f t="shared" si="277"/>
        <v>57.333333333333336</v>
      </c>
      <c r="AE120">
        <f t="shared" si="277"/>
        <v>60.760080645161281</v>
      </c>
      <c r="AF120">
        <f t="shared" si="277"/>
        <v>62.010080645161267</v>
      </c>
      <c r="AG120">
        <f t="shared" ref="AG120" si="278">AG13</f>
        <v>69.076612903225808</v>
      </c>
      <c r="AJ120">
        <f>AJ13</f>
        <v>44.666666666666664</v>
      </c>
      <c r="AK120">
        <f t="shared" ref="AK120:AQ120" si="279">AK13</f>
        <v>44.666666666666664</v>
      </c>
      <c r="AL120">
        <f t="shared" si="279"/>
        <v>14.333333333333343</v>
      </c>
      <c r="AM120">
        <f t="shared" si="279"/>
        <v>14.333333333333343</v>
      </c>
      <c r="AN120">
        <f t="shared" si="279"/>
        <v>50.666666666666679</v>
      </c>
      <c r="AO120">
        <f t="shared" si="279"/>
        <v>50.666666666666679</v>
      </c>
      <c r="AP120">
        <f t="shared" si="279"/>
        <v>61.217741935483879</v>
      </c>
      <c r="AQ120">
        <f t="shared" si="279"/>
        <v>55.79032258064516</v>
      </c>
      <c r="AR120">
        <f t="shared" ref="AR120" si="280">AR13</f>
        <v>66.681451612903217</v>
      </c>
    </row>
    <row r="121" spans="1:44" x14ac:dyDescent="0.45">
      <c r="B121">
        <v>3</v>
      </c>
      <c r="C121">
        <f>C29</f>
        <v>49.000000000000014</v>
      </c>
      <c r="D121">
        <f t="shared" ref="D121:K121" si="281">D29</f>
        <v>49.000000000000014</v>
      </c>
      <c r="E121">
        <f t="shared" si="281"/>
        <v>42.999999999999993</v>
      </c>
      <c r="F121">
        <f t="shared" si="281"/>
        <v>42.999999999999993</v>
      </c>
      <c r="G121">
        <f t="shared" si="281"/>
        <v>67.333333333333343</v>
      </c>
      <c r="H121">
        <f t="shared" si="281"/>
        <v>67.333333333333343</v>
      </c>
      <c r="I121">
        <f t="shared" si="281"/>
        <v>70.163306451612925</v>
      </c>
      <c r="J121">
        <f t="shared" si="281"/>
        <v>78.693548387096754</v>
      </c>
      <c r="K121">
        <f t="shared" si="281"/>
        <v>85.647177419354847</v>
      </c>
      <c r="N121">
        <f>N29</f>
        <v>53</v>
      </c>
      <c r="O121">
        <f t="shared" ref="O121:U121" si="282">O29</f>
        <v>53</v>
      </c>
      <c r="P121">
        <f t="shared" si="282"/>
        <v>53.666666666666671</v>
      </c>
      <c r="Q121">
        <f t="shared" si="282"/>
        <v>53.666666666666671</v>
      </c>
      <c r="R121">
        <f t="shared" si="282"/>
        <v>74.666666666666686</v>
      </c>
      <c r="S121">
        <f t="shared" si="282"/>
        <v>74.666666666666686</v>
      </c>
      <c r="T121">
        <f t="shared" si="282"/>
        <v>80.524193548387103</v>
      </c>
      <c r="U121">
        <f t="shared" si="282"/>
        <v>81.074596774193552</v>
      </c>
      <c r="V121">
        <f t="shared" ref="V121" si="283">V29</f>
        <v>88.92741935483869</v>
      </c>
      <c r="Y121">
        <f>Y29</f>
        <v>57.666666666666671</v>
      </c>
      <c r="Z121">
        <f t="shared" ref="Z121:AF121" si="284">Z29</f>
        <v>57.666666666666671</v>
      </c>
      <c r="AA121">
        <f t="shared" si="284"/>
        <v>54</v>
      </c>
      <c r="AB121">
        <f t="shared" si="284"/>
        <v>54</v>
      </c>
      <c r="AC121">
        <f t="shared" si="284"/>
        <v>79.6666666666667</v>
      </c>
      <c r="AD121">
        <f t="shared" si="284"/>
        <v>79.6666666666667</v>
      </c>
      <c r="AE121">
        <f t="shared" si="284"/>
        <v>68.99798387096773</v>
      </c>
      <c r="AF121">
        <f t="shared" si="284"/>
        <v>68.560483870967772</v>
      </c>
      <c r="AG121">
        <f t="shared" ref="AG121" si="285">AG29</f>
        <v>84.895161290322577</v>
      </c>
      <c r="AJ121">
        <f>AJ29</f>
        <v>42.666666666666657</v>
      </c>
      <c r="AK121">
        <f t="shared" ref="AK121:AQ121" si="286">AK29</f>
        <v>42.666666666666657</v>
      </c>
      <c r="AL121">
        <f t="shared" si="286"/>
        <v>47</v>
      </c>
      <c r="AM121">
        <f t="shared" si="286"/>
        <v>47</v>
      </c>
      <c r="AN121">
        <f t="shared" si="286"/>
        <v>72</v>
      </c>
      <c r="AO121">
        <f t="shared" si="286"/>
        <v>72</v>
      </c>
      <c r="AP121">
        <f t="shared" si="286"/>
        <v>56.417338709677423</v>
      </c>
      <c r="AQ121">
        <f t="shared" si="286"/>
        <v>69.834677419354833</v>
      </c>
      <c r="AR121">
        <f t="shared" ref="AR121" si="287">AR29</f>
        <v>79.415322580645167</v>
      </c>
    </row>
    <row r="122" spans="1:44" x14ac:dyDescent="0.45">
      <c r="B122">
        <v>5</v>
      </c>
      <c r="C122">
        <f>C43</f>
        <v>55.666666666666664</v>
      </c>
      <c r="D122">
        <f t="shared" ref="D122:K122" si="288">D43</f>
        <v>55.666666666666664</v>
      </c>
      <c r="E122">
        <f t="shared" si="288"/>
        <v>70.333333333333329</v>
      </c>
      <c r="F122">
        <f t="shared" si="288"/>
        <v>70.333333333333329</v>
      </c>
      <c r="G122">
        <f t="shared" si="288"/>
        <v>79.3333333333333</v>
      </c>
      <c r="H122">
        <f t="shared" si="288"/>
        <v>79.3333333333333</v>
      </c>
      <c r="I122">
        <f t="shared" si="288"/>
        <v>57.423387096774192</v>
      </c>
      <c r="J122">
        <f t="shared" si="288"/>
        <v>86.237903225806477</v>
      </c>
      <c r="K122">
        <f t="shared" si="288"/>
        <v>77.564516129032228</v>
      </c>
      <c r="N122">
        <f>N43</f>
        <v>45.000000000000007</v>
      </c>
      <c r="O122">
        <f t="shared" ref="O122:U122" si="289">O43</f>
        <v>45.000000000000007</v>
      </c>
      <c r="P122">
        <f t="shared" si="289"/>
        <v>79.666666666666671</v>
      </c>
      <c r="Q122">
        <f t="shared" si="289"/>
        <v>79.666666666666671</v>
      </c>
      <c r="R122">
        <f t="shared" si="289"/>
        <v>76.333333333333343</v>
      </c>
      <c r="S122">
        <f t="shared" si="289"/>
        <v>76.333333333333343</v>
      </c>
      <c r="T122">
        <f t="shared" si="289"/>
        <v>56.852822580645167</v>
      </c>
      <c r="U122">
        <f t="shared" si="289"/>
        <v>91.677419354838705</v>
      </c>
      <c r="V122">
        <f t="shared" ref="V122" si="290">V43</f>
        <v>81.284274193548384</v>
      </c>
      <c r="Y122">
        <f>Y43</f>
        <v>43.333333333333336</v>
      </c>
      <c r="Z122">
        <f t="shared" ref="Z122:AF122" si="291">Z43</f>
        <v>43.333333333333336</v>
      </c>
      <c r="AA122">
        <f t="shared" si="291"/>
        <v>66.666666666666657</v>
      </c>
      <c r="AB122">
        <f t="shared" si="291"/>
        <v>66.666666666666657</v>
      </c>
      <c r="AC122">
        <f t="shared" si="291"/>
        <v>70.999999999999972</v>
      </c>
      <c r="AD122">
        <f t="shared" si="291"/>
        <v>70.999999999999972</v>
      </c>
      <c r="AE122">
        <f t="shared" si="291"/>
        <v>51.082661290322584</v>
      </c>
      <c r="AF122">
        <f t="shared" si="291"/>
        <v>87.038306451612911</v>
      </c>
      <c r="AG122">
        <f t="shared" ref="AG122" si="292">AG43</f>
        <v>71.135080645161281</v>
      </c>
      <c r="AJ122">
        <f>AJ43</f>
        <v>46.666666666666671</v>
      </c>
      <c r="AK122">
        <f t="shared" ref="AK122:AQ122" si="293">AK43</f>
        <v>46.666666666666671</v>
      </c>
      <c r="AL122">
        <f t="shared" si="293"/>
        <v>65.666666666666657</v>
      </c>
      <c r="AM122">
        <f t="shared" si="293"/>
        <v>65.666666666666657</v>
      </c>
      <c r="AN122">
        <f t="shared" si="293"/>
        <v>80.666666666666657</v>
      </c>
      <c r="AO122">
        <f t="shared" si="293"/>
        <v>80.666666666666657</v>
      </c>
      <c r="AP122">
        <f t="shared" si="293"/>
        <v>50.06451612903227</v>
      </c>
      <c r="AQ122">
        <f t="shared" si="293"/>
        <v>78.451612903225794</v>
      </c>
      <c r="AR122">
        <f t="shared" ref="AR122" si="294">AR43</f>
        <v>88.69354838709674</v>
      </c>
    </row>
    <row r="123" spans="1:44" x14ac:dyDescent="0.45">
      <c r="B123">
        <v>7</v>
      </c>
      <c r="C123">
        <f>C60</f>
        <v>48.666666666666664</v>
      </c>
      <c r="D123">
        <f t="shared" ref="D123:K123" si="295">D60</f>
        <v>48.666666666666664</v>
      </c>
      <c r="E123">
        <f t="shared" si="295"/>
        <v>81</v>
      </c>
      <c r="F123">
        <f t="shared" si="295"/>
        <v>81</v>
      </c>
      <c r="G123">
        <f t="shared" si="295"/>
        <v>82.000000000000014</v>
      </c>
      <c r="H123">
        <f t="shared" si="295"/>
        <v>82.000000000000014</v>
      </c>
      <c r="I123">
        <f t="shared" si="295"/>
        <v>58.606854838709673</v>
      </c>
      <c r="J123">
        <f t="shared" si="295"/>
        <v>92.731854838709666</v>
      </c>
      <c r="K123">
        <f t="shared" si="295"/>
        <v>85.596774193548384</v>
      </c>
      <c r="N123">
        <f>N60</f>
        <v>42.333333333333336</v>
      </c>
      <c r="O123">
        <f t="shared" ref="O123:U123" si="296">O60</f>
        <v>42.333333333333336</v>
      </c>
      <c r="P123">
        <f t="shared" si="296"/>
        <v>90.999999999999986</v>
      </c>
      <c r="Q123">
        <f t="shared" si="296"/>
        <v>90.999999999999986</v>
      </c>
      <c r="R123">
        <f t="shared" si="296"/>
        <v>69.666666666666657</v>
      </c>
      <c r="S123">
        <f t="shared" si="296"/>
        <v>69.666666666666657</v>
      </c>
      <c r="T123">
        <f t="shared" si="296"/>
        <v>58.949596774193559</v>
      </c>
      <c r="U123">
        <f t="shared" si="296"/>
        <v>94.588709677419359</v>
      </c>
      <c r="V123">
        <f t="shared" ref="V123" si="297">V60</f>
        <v>71.8125</v>
      </c>
      <c r="Y123">
        <f>Y60</f>
        <v>54.666666666666664</v>
      </c>
      <c r="Z123">
        <f t="shared" ref="Z123:AF123" si="298">Z60</f>
        <v>54.666666666666664</v>
      </c>
      <c r="AA123">
        <f t="shared" si="298"/>
        <v>85.666666666666657</v>
      </c>
      <c r="AB123">
        <f t="shared" si="298"/>
        <v>85.666666666666657</v>
      </c>
      <c r="AC123">
        <f t="shared" si="298"/>
        <v>88.333333333333343</v>
      </c>
      <c r="AD123">
        <f t="shared" si="298"/>
        <v>88.333333333333343</v>
      </c>
      <c r="AE123">
        <f t="shared" si="298"/>
        <v>62.1875</v>
      </c>
      <c r="AF123">
        <f t="shared" si="298"/>
        <v>98.024193548387103</v>
      </c>
      <c r="AG123">
        <f t="shared" ref="AG123" si="299">AG60</f>
        <v>88.699596774193552</v>
      </c>
      <c r="AJ123">
        <f>AJ60</f>
        <v>44</v>
      </c>
      <c r="AK123">
        <f t="shared" ref="AK123:AQ123" si="300">AK60</f>
        <v>44</v>
      </c>
      <c r="AL123">
        <f t="shared" si="300"/>
        <v>76.333333333333329</v>
      </c>
      <c r="AM123">
        <f t="shared" si="300"/>
        <v>76.333333333333329</v>
      </c>
      <c r="AN123">
        <f t="shared" si="300"/>
        <v>78.666666666666671</v>
      </c>
      <c r="AO123">
        <f t="shared" si="300"/>
        <v>78.666666666666671</v>
      </c>
      <c r="AP123">
        <f t="shared" si="300"/>
        <v>53.635080645161281</v>
      </c>
      <c r="AQ123">
        <f t="shared" si="300"/>
        <v>89.336693548387075</v>
      </c>
      <c r="AR123">
        <f t="shared" ref="AR123" si="301">AR60</f>
        <v>76.625</v>
      </c>
    </row>
    <row r="124" spans="1:44" x14ac:dyDescent="0.45">
      <c r="B124">
        <v>9</v>
      </c>
      <c r="C124">
        <f>C74</f>
        <v>56.666666666666671</v>
      </c>
      <c r="D124">
        <f t="shared" ref="D124:K124" si="302">D74</f>
        <v>56.666666666666671</v>
      </c>
      <c r="E124">
        <f t="shared" si="302"/>
        <v>82.666666666666671</v>
      </c>
      <c r="F124">
        <f t="shared" si="302"/>
        <v>82.666666666666671</v>
      </c>
      <c r="G124">
        <f t="shared" si="302"/>
        <v>83</v>
      </c>
      <c r="H124">
        <f t="shared" si="302"/>
        <v>83</v>
      </c>
      <c r="I124">
        <f t="shared" si="302"/>
        <v>65.745967741935459</v>
      </c>
      <c r="J124">
        <f t="shared" si="302"/>
        <v>89.040322580645167</v>
      </c>
      <c r="K124">
        <f t="shared" si="302"/>
        <v>85.564516129032228</v>
      </c>
      <c r="N124">
        <f>N74</f>
        <v>49</v>
      </c>
      <c r="O124">
        <f t="shared" ref="O124:U124" si="303">O74</f>
        <v>49</v>
      </c>
      <c r="P124">
        <f t="shared" si="303"/>
        <v>94.333333333333329</v>
      </c>
      <c r="Q124">
        <f t="shared" si="303"/>
        <v>94.333333333333329</v>
      </c>
      <c r="R124">
        <f t="shared" si="303"/>
        <v>82.666666666666657</v>
      </c>
      <c r="S124">
        <f t="shared" si="303"/>
        <v>82.666666666666657</v>
      </c>
      <c r="T124">
        <f t="shared" si="303"/>
        <v>57.42137096774195</v>
      </c>
      <c r="U124">
        <f t="shared" si="303"/>
        <v>97.852822580645181</v>
      </c>
      <c r="V124">
        <f t="shared" ref="V124" si="304">V74</f>
        <v>88.112903225806448</v>
      </c>
      <c r="Y124">
        <f>Y74</f>
        <v>54.999999999999986</v>
      </c>
      <c r="Z124">
        <f t="shared" ref="Z124:AF124" si="305">Z74</f>
        <v>54.999999999999986</v>
      </c>
      <c r="AA124">
        <f t="shared" si="305"/>
        <v>88.666666666666671</v>
      </c>
      <c r="AB124">
        <f t="shared" si="305"/>
        <v>88.666666666666671</v>
      </c>
      <c r="AC124">
        <f t="shared" si="305"/>
        <v>79.666666666666643</v>
      </c>
      <c r="AD124">
        <f t="shared" si="305"/>
        <v>79.666666666666643</v>
      </c>
      <c r="AE124">
        <f t="shared" si="305"/>
        <v>63.953629032258064</v>
      </c>
      <c r="AF124">
        <f t="shared" si="305"/>
        <v>94.903225806451601</v>
      </c>
      <c r="AG124">
        <f t="shared" ref="AG124" si="306">AG74</f>
        <v>77.209677419354819</v>
      </c>
      <c r="AJ124">
        <f>AJ74</f>
        <v>40.666666666666664</v>
      </c>
      <c r="AK124">
        <f t="shared" ref="AK124:AQ124" si="307">AK74</f>
        <v>40.666666666666664</v>
      </c>
      <c r="AL124">
        <f t="shared" si="307"/>
        <v>81.666666666666671</v>
      </c>
      <c r="AM124">
        <f t="shared" si="307"/>
        <v>81.666666666666671</v>
      </c>
      <c r="AN124">
        <f t="shared" si="307"/>
        <v>76.666666666666671</v>
      </c>
      <c r="AO124">
        <f t="shared" si="307"/>
        <v>76.666666666666671</v>
      </c>
      <c r="AP124">
        <f t="shared" si="307"/>
        <v>52.024193548387096</v>
      </c>
      <c r="AQ124">
        <f t="shared" si="307"/>
        <v>87.679435483870975</v>
      </c>
      <c r="AR124">
        <f t="shared" ref="AR124" si="308">AR74</f>
        <v>86.45362903225805</v>
      </c>
    </row>
    <row r="125" spans="1:44" x14ac:dyDescent="0.45">
      <c r="B125">
        <v>11</v>
      </c>
      <c r="C125">
        <f>C88</f>
        <v>40.666666666666671</v>
      </c>
      <c r="D125">
        <f t="shared" ref="D125:K125" si="309">D88</f>
        <v>40.666666666666671</v>
      </c>
      <c r="E125">
        <f t="shared" si="309"/>
        <v>92.333333333333314</v>
      </c>
      <c r="F125">
        <f t="shared" si="309"/>
        <v>92.333333333333314</v>
      </c>
      <c r="G125">
        <f t="shared" si="309"/>
        <v>82.666666666666671</v>
      </c>
      <c r="H125">
        <f t="shared" si="309"/>
        <v>82.666666666666671</v>
      </c>
      <c r="I125">
        <f t="shared" si="309"/>
        <v>53.991935483870975</v>
      </c>
      <c r="J125">
        <f t="shared" si="309"/>
        <v>94.709677419354847</v>
      </c>
      <c r="K125">
        <f t="shared" si="309"/>
        <v>88.560483870967758</v>
      </c>
      <c r="N125">
        <f>N88</f>
        <v>47.333333333333329</v>
      </c>
      <c r="O125">
        <f t="shared" ref="O125:U125" si="310">O88</f>
        <v>47.333333333333329</v>
      </c>
      <c r="P125">
        <f t="shared" si="310"/>
        <v>91.999999999999986</v>
      </c>
      <c r="Q125">
        <f t="shared" si="310"/>
        <v>91.999999999999986</v>
      </c>
      <c r="R125">
        <f t="shared" si="310"/>
        <v>81.666666666666671</v>
      </c>
      <c r="S125">
        <f t="shared" si="310"/>
        <v>81.666666666666671</v>
      </c>
      <c r="T125">
        <f t="shared" si="310"/>
        <v>61.201612903225808</v>
      </c>
      <c r="U125">
        <f t="shared" si="310"/>
        <v>98.782258064516157</v>
      </c>
      <c r="V125">
        <f t="shared" ref="V125" si="311">V88</f>
        <v>81.85685483870968</v>
      </c>
      <c r="Y125">
        <f>Y88</f>
        <v>46.333333333333329</v>
      </c>
      <c r="Z125">
        <f t="shared" ref="Z125:AF125" si="312">Z88</f>
        <v>46.333333333333329</v>
      </c>
      <c r="AA125">
        <f t="shared" si="312"/>
        <v>89.999999999999972</v>
      </c>
      <c r="AB125">
        <f t="shared" si="312"/>
        <v>89.999999999999972</v>
      </c>
      <c r="AC125">
        <f t="shared" si="312"/>
        <v>86.666666666666657</v>
      </c>
      <c r="AD125">
        <f t="shared" si="312"/>
        <v>86.666666666666657</v>
      </c>
      <c r="AE125">
        <f t="shared" si="312"/>
        <v>58.354838709677438</v>
      </c>
      <c r="AF125">
        <f t="shared" si="312"/>
        <v>94.572580645161295</v>
      </c>
      <c r="AG125">
        <f t="shared" ref="AG125" si="313">AG88</f>
        <v>90.653225806451616</v>
      </c>
      <c r="AJ125">
        <f>AJ88</f>
        <v>52.333333333333329</v>
      </c>
      <c r="AK125">
        <f t="shared" ref="AK125:AQ125" si="314">AK88</f>
        <v>52.333333333333329</v>
      </c>
      <c r="AL125">
        <f t="shared" si="314"/>
        <v>92.666666666666671</v>
      </c>
      <c r="AM125">
        <f t="shared" si="314"/>
        <v>92.666666666666671</v>
      </c>
      <c r="AN125">
        <f t="shared" si="314"/>
        <v>90.333333333333343</v>
      </c>
      <c r="AO125">
        <f t="shared" si="314"/>
        <v>90.333333333333343</v>
      </c>
      <c r="AP125">
        <f t="shared" si="314"/>
        <v>65.036290322580655</v>
      </c>
      <c r="AQ125">
        <f t="shared" si="314"/>
        <v>98.620967741935473</v>
      </c>
      <c r="AR125">
        <f t="shared" ref="AR125" si="315">AR88</f>
        <v>95.427419354838705</v>
      </c>
    </row>
    <row r="126" spans="1:44" x14ac:dyDescent="0.45">
      <c r="B126">
        <v>13</v>
      </c>
      <c r="C126">
        <f>C101</f>
        <v>49.333333333333329</v>
      </c>
      <c r="D126">
        <f t="shared" ref="D126:K126" si="316">D101</f>
        <v>49.333333333333329</v>
      </c>
      <c r="E126">
        <f t="shared" si="316"/>
        <v>95.333333333333329</v>
      </c>
      <c r="F126">
        <f t="shared" si="316"/>
        <v>95.333333333333329</v>
      </c>
      <c r="G126">
        <f t="shared" si="316"/>
        <v>82.000000000000014</v>
      </c>
      <c r="H126">
        <f t="shared" si="316"/>
        <v>82.000000000000014</v>
      </c>
      <c r="I126">
        <f t="shared" si="316"/>
        <v>69.258064516129025</v>
      </c>
      <c r="J126">
        <f t="shared" si="316"/>
        <v>91.145161290322591</v>
      </c>
      <c r="K126">
        <f t="shared" si="316"/>
        <v>85.46572580645163</v>
      </c>
      <c r="N126">
        <f>N101</f>
        <v>50.666666666666671</v>
      </c>
      <c r="O126">
        <f t="shared" ref="O126:U126" si="317">O101</f>
        <v>50.666666666666671</v>
      </c>
      <c r="P126">
        <f t="shared" si="317"/>
        <v>94.666666666666657</v>
      </c>
      <c r="Q126">
        <f t="shared" si="317"/>
        <v>94.666666666666657</v>
      </c>
      <c r="R126">
        <f t="shared" si="317"/>
        <v>86.666666666666686</v>
      </c>
      <c r="S126">
        <f t="shared" si="317"/>
        <v>86.666666666666686</v>
      </c>
      <c r="T126">
        <f t="shared" si="317"/>
        <v>59.965725806451601</v>
      </c>
      <c r="U126">
        <f t="shared" si="317"/>
        <v>95.193548387096769</v>
      </c>
      <c r="V126">
        <f t="shared" ref="V126" si="318">V101</f>
        <v>85.612903225806448</v>
      </c>
      <c r="Y126">
        <f>Y101</f>
        <v>45</v>
      </c>
      <c r="Z126">
        <f t="shared" ref="Z126:AF126" si="319">Z101</f>
        <v>45</v>
      </c>
      <c r="AA126">
        <f t="shared" si="319"/>
        <v>95.999999999999972</v>
      </c>
      <c r="AB126">
        <f t="shared" si="319"/>
        <v>95.999999999999972</v>
      </c>
      <c r="AC126">
        <f t="shared" si="319"/>
        <v>84.666666666666671</v>
      </c>
      <c r="AD126">
        <f t="shared" si="319"/>
        <v>84.666666666666671</v>
      </c>
      <c r="AE126">
        <f t="shared" si="319"/>
        <v>55.084677419354833</v>
      </c>
      <c r="AF126">
        <f t="shared" si="319"/>
        <v>98.887096774193566</v>
      </c>
      <c r="AG126">
        <f t="shared" ref="AG126" si="320">AG101</f>
        <v>88.602822580645153</v>
      </c>
      <c r="AJ126">
        <f>AJ101</f>
        <v>52.666666666666664</v>
      </c>
      <c r="AK126">
        <f t="shared" ref="AK126:AQ126" si="321">AK101</f>
        <v>52.666666666666664</v>
      </c>
      <c r="AL126">
        <f t="shared" si="321"/>
        <v>94</v>
      </c>
      <c r="AM126">
        <f t="shared" si="321"/>
        <v>94</v>
      </c>
      <c r="AN126">
        <f t="shared" si="321"/>
        <v>85.666666666666671</v>
      </c>
      <c r="AO126">
        <f t="shared" si="321"/>
        <v>85.666666666666671</v>
      </c>
      <c r="AP126">
        <f t="shared" si="321"/>
        <v>50.153225806451601</v>
      </c>
      <c r="AQ126">
        <f t="shared" si="321"/>
        <v>99.370967741935502</v>
      </c>
      <c r="AR126">
        <f t="shared" ref="AR126" si="322">AR101</f>
        <v>92.298387096774178</v>
      </c>
    </row>
    <row r="127" spans="1:44" x14ac:dyDescent="0.45">
      <c r="B127">
        <v>15</v>
      </c>
      <c r="C127">
        <f>C114</f>
        <v>46</v>
      </c>
      <c r="D127">
        <f t="shared" ref="D127:K127" si="323">D114</f>
        <v>46</v>
      </c>
      <c r="E127">
        <f t="shared" si="323"/>
        <v>95.333333333333329</v>
      </c>
      <c r="F127">
        <f t="shared" si="323"/>
        <v>95.333333333333329</v>
      </c>
      <c r="G127">
        <f t="shared" si="323"/>
        <v>90.333333333333314</v>
      </c>
      <c r="H127">
        <f t="shared" si="323"/>
        <v>90.333333333333314</v>
      </c>
      <c r="I127">
        <f t="shared" si="323"/>
        <v>76.461693548387103</v>
      </c>
      <c r="J127">
        <f t="shared" si="323"/>
        <v>99.266129032258064</v>
      </c>
      <c r="K127">
        <f t="shared" si="323"/>
        <v>88.935483870967744</v>
      </c>
      <c r="N127">
        <f>N114</f>
        <v>42.999999999999993</v>
      </c>
      <c r="O127">
        <f t="shared" ref="O127:U127" si="324">O114</f>
        <v>42.999999999999993</v>
      </c>
      <c r="P127">
        <f t="shared" si="324"/>
        <v>95.333333333333329</v>
      </c>
      <c r="Q127">
        <f t="shared" si="324"/>
        <v>95.333333333333329</v>
      </c>
      <c r="R127">
        <f t="shared" si="324"/>
        <v>83.333333333333343</v>
      </c>
      <c r="S127">
        <f t="shared" si="324"/>
        <v>83.333333333333343</v>
      </c>
      <c r="T127">
        <f t="shared" si="324"/>
        <v>68.296370967741922</v>
      </c>
      <c r="U127">
        <f t="shared" si="324"/>
        <v>99.83064516129032</v>
      </c>
      <c r="V127">
        <f t="shared" ref="V127" si="325">V114</f>
        <v>96.83064516129032</v>
      </c>
      <c r="Y127">
        <f>Y114</f>
        <v>50.66666666666665</v>
      </c>
      <c r="Z127">
        <f t="shared" ref="Z127:AF127" si="326">Z114</f>
        <v>50.66666666666665</v>
      </c>
      <c r="AA127">
        <f t="shared" si="326"/>
        <v>95.3333333333333</v>
      </c>
      <c r="AB127">
        <f t="shared" si="326"/>
        <v>95.3333333333333</v>
      </c>
      <c r="AC127">
        <f t="shared" si="326"/>
        <v>89.333333333333314</v>
      </c>
      <c r="AD127">
        <f t="shared" si="326"/>
        <v>89.333333333333314</v>
      </c>
      <c r="AE127">
        <f t="shared" si="326"/>
        <v>59.189516129032256</v>
      </c>
      <c r="AF127">
        <f t="shared" si="326"/>
        <v>99.887096774193566</v>
      </c>
      <c r="AG127">
        <f t="shared" ref="AG127" si="327">AG114</f>
        <v>94.70564516129032</v>
      </c>
      <c r="AJ127">
        <f>AJ114</f>
        <v>41.666666666666671</v>
      </c>
      <c r="AK127">
        <f t="shared" ref="AK127:AQ127" si="328">AK114</f>
        <v>41.666666666666671</v>
      </c>
      <c r="AL127">
        <f t="shared" si="328"/>
        <v>94.3333333333333</v>
      </c>
      <c r="AM127">
        <f t="shared" si="328"/>
        <v>94.3333333333333</v>
      </c>
      <c r="AN127">
        <f t="shared" si="328"/>
        <v>80.999999999999986</v>
      </c>
      <c r="AO127">
        <f t="shared" si="328"/>
        <v>80.999999999999986</v>
      </c>
      <c r="AP127">
        <f t="shared" si="328"/>
        <v>55.953629032258064</v>
      </c>
      <c r="AQ127">
        <f t="shared" si="328"/>
        <v>99.258064516129053</v>
      </c>
      <c r="AR127">
        <f t="shared" ref="AR127" si="329">AR114</f>
        <v>81.620967741935473</v>
      </c>
    </row>
    <row r="129" spans="1:29" x14ac:dyDescent="0.45">
      <c r="A129" t="s">
        <v>24</v>
      </c>
    </row>
    <row r="130" spans="1:29" x14ac:dyDescent="0.45">
      <c r="A130" t="s">
        <v>26</v>
      </c>
      <c r="O130" t="s">
        <v>31</v>
      </c>
    </row>
    <row r="131" spans="1:29" x14ac:dyDescent="0.45">
      <c r="A131" s="3" t="s">
        <v>27</v>
      </c>
      <c r="B131" s="8">
        <v>2</v>
      </c>
      <c r="C131" s="8"/>
      <c r="D131" s="8"/>
      <c r="E131" s="8">
        <v>3</v>
      </c>
      <c r="F131" s="8"/>
      <c r="G131" s="8"/>
      <c r="H131" s="8">
        <v>4</v>
      </c>
      <c r="I131" s="8"/>
      <c r="J131" s="8"/>
      <c r="K131" s="8">
        <v>5</v>
      </c>
      <c r="L131" s="8"/>
      <c r="M131" s="8"/>
      <c r="Q131" s="3" t="s">
        <v>27</v>
      </c>
      <c r="R131" s="8">
        <v>2</v>
      </c>
      <c r="S131" s="8"/>
      <c r="T131" s="8"/>
      <c r="U131" s="8">
        <v>3</v>
      </c>
      <c r="V131" s="8"/>
      <c r="W131" s="8"/>
      <c r="X131" s="8">
        <v>4</v>
      </c>
      <c r="Y131" s="8"/>
      <c r="Z131" s="8"/>
      <c r="AA131" s="8">
        <v>5</v>
      </c>
      <c r="AB131" s="8"/>
      <c r="AC131" s="8"/>
    </row>
    <row r="132" spans="1:29" x14ac:dyDescent="0.45">
      <c r="A132" s="3" t="s">
        <v>28</v>
      </c>
      <c r="B132" s="4" t="s">
        <v>23</v>
      </c>
      <c r="C132" s="4" t="s">
        <v>29</v>
      </c>
      <c r="D132" s="4" t="s">
        <v>30</v>
      </c>
      <c r="E132" s="4" t="s">
        <v>23</v>
      </c>
      <c r="F132" s="4" t="s">
        <v>29</v>
      </c>
      <c r="G132" s="4" t="s">
        <v>30</v>
      </c>
      <c r="H132" s="4" t="s">
        <v>23</v>
      </c>
      <c r="I132" s="4" t="s">
        <v>29</v>
      </c>
      <c r="J132" s="4" t="s">
        <v>30</v>
      </c>
      <c r="K132" s="4" t="s">
        <v>23</v>
      </c>
      <c r="L132" s="4" t="s">
        <v>29</v>
      </c>
      <c r="M132" s="4" t="s">
        <v>30</v>
      </c>
      <c r="Q132" s="3" t="s">
        <v>28</v>
      </c>
      <c r="R132" s="4" t="s">
        <v>23</v>
      </c>
      <c r="S132" s="4" t="s">
        <v>29</v>
      </c>
      <c r="T132" s="4" t="s">
        <v>30</v>
      </c>
      <c r="U132" s="4" t="s">
        <v>23</v>
      </c>
      <c r="V132" s="4" t="s">
        <v>29</v>
      </c>
      <c r="W132" s="4" t="s">
        <v>30</v>
      </c>
      <c r="X132" s="4" t="s">
        <v>23</v>
      </c>
      <c r="Y132" s="4" t="s">
        <v>29</v>
      </c>
      <c r="Z132" s="4" t="s">
        <v>30</v>
      </c>
      <c r="AA132" s="4" t="s">
        <v>23</v>
      </c>
      <c r="AB132" s="4" t="s">
        <v>29</v>
      </c>
      <c r="AC132" s="4" t="s">
        <v>30</v>
      </c>
    </row>
    <row r="133" spans="1:29" x14ac:dyDescent="0.45">
      <c r="A133" s="3">
        <v>1</v>
      </c>
      <c r="B133" s="5">
        <f>C120</f>
        <v>40.666666666666671</v>
      </c>
      <c r="C133" s="5">
        <f>E120</f>
        <v>15.666666666666675</v>
      </c>
      <c r="D133" s="5">
        <f>G120</f>
        <v>51.666666666666664</v>
      </c>
      <c r="E133" s="5">
        <f>N120</f>
        <v>52</v>
      </c>
      <c r="F133" s="5">
        <f>P120</f>
        <v>14.999999999999989</v>
      </c>
      <c r="G133" s="5">
        <f>R120</f>
        <v>59</v>
      </c>
      <c r="H133" s="5">
        <f>Y120</f>
        <v>51.333333333333329</v>
      </c>
      <c r="I133" s="5">
        <f>AA120</f>
        <v>20.666666666666668</v>
      </c>
      <c r="J133" s="5">
        <f>AC120</f>
        <v>57.333333333333336</v>
      </c>
      <c r="K133" s="5">
        <f>AJ120</f>
        <v>44.666666666666664</v>
      </c>
      <c r="L133" s="5">
        <f>AL120</f>
        <v>14.333333333333343</v>
      </c>
      <c r="M133" s="5">
        <f>AN120</f>
        <v>50.666666666666679</v>
      </c>
      <c r="Q133" s="3">
        <v>1</v>
      </c>
      <c r="R133" s="5">
        <f>I120</f>
        <v>64.570564516129053</v>
      </c>
      <c r="S133" s="5">
        <f t="shared" ref="S133:T140" si="330">J120</f>
        <v>51.247983870967758</v>
      </c>
      <c r="T133" s="5">
        <f t="shared" si="330"/>
        <v>70.947580645161295</v>
      </c>
      <c r="U133" s="5">
        <f>T120</f>
        <v>63.616935483870975</v>
      </c>
      <c r="V133" s="5">
        <f t="shared" ref="V133:W133" si="331">U120</f>
        <v>45.493951612903224</v>
      </c>
      <c r="W133" s="5">
        <f t="shared" si="331"/>
        <v>60.086693548387089</v>
      </c>
      <c r="X133" s="5">
        <f>AE120</f>
        <v>60.760080645161281</v>
      </c>
      <c r="Y133" s="5">
        <f t="shared" ref="Y133:Z140" si="332">AF120</f>
        <v>62.010080645161267</v>
      </c>
      <c r="Z133" s="5">
        <f t="shared" si="332"/>
        <v>69.076612903225808</v>
      </c>
      <c r="AA133" s="5">
        <f>AP120</f>
        <v>61.217741935483879</v>
      </c>
      <c r="AB133" s="5">
        <f t="shared" ref="AB133:AC140" si="333">AQ120</f>
        <v>55.79032258064516</v>
      </c>
      <c r="AC133" s="5">
        <f t="shared" si="333"/>
        <v>66.681451612903217</v>
      </c>
    </row>
    <row r="134" spans="1:29" x14ac:dyDescent="0.45">
      <c r="A134" s="3">
        <v>3</v>
      </c>
      <c r="B134" s="5">
        <f t="shared" ref="B134:B140" si="334">C121</f>
        <v>49.000000000000014</v>
      </c>
      <c r="C134" s="5">
        <f t="shared" ref="C134:C140" si="335">E121</f>
        <v>42.999999999999993</v>
      </c>
      <c r="D134" s="5">
        <f t="shared" ref="D134:D140" si="336">G121</f>
        <v>67.333333333333343</v>
      </c>
      <c r="E134" s="5">
        <f t="shared" ref="E134:E140" si="337">N121</f>
        <v>53</v>
      </c>
      <c r="F134" s="5">
        <f t="shared" ref="F134:F140" si="338">P121</f>
        <v>53.666666666666671</v>
      </c>
      <c r="G134" s="5">
        <f t="shared" ref="G134:G140" si="339">R121</f>
        <v>74.666666666666686</v>
      </c>
      <c r="H134" s="5">
        <f t="shared" ref="H134:H140" si="340">Y121</f>
        <v>57.666666666666671</v>
      </c>
      <c r="I134" s="5">
        <f t="shared" ref="I134:I140" si="341">AA121</f>
        <v>54</v>
      </c>
      <c r="J134" s="5">
        <f t="shared" ref="J134:J140" si="342">AC121</f>
        <v>79.6666666666667</v>
      </c>
      <c r="K134" s="5">
        <f t="shared" ref="K134:K140" si="343">AJ121</f>
        <v>42.666666666666657</v>
      </c>
      <c r="L134" s="5">
        <f t="shared" ref="L134:L140" si="344">AL121</f>
        <v>47</v>
      </c>
      <c r="M134" s="5">
        <f t="shared" ref="M134:M140" si="345">AN121</f>
        <v>72</v>
      </c>
      <c r="Q134" s="3">
        <v>3</v>
      </c>
      <c r="R134" s="5">
        <f t="shared" ref="R134:R140" si="346">I121</f>
        <v>70.163306451612925</v>
      </c>
      <c r="S134" s="5">
        <f t="shared" si="330"/>
        <v>78.693548387096754</v>
      </c>
      <c r="T134" s="5">
        <f t="shared" si="330"/>
        <v>85.647177419354847</v>
      </c>
      <c r="U134" s="5">
        <f t="shared" ref="U134:W140" si="347">T121</f>
        <v>80.524193548387103</v>
      </c>
      <c r="V134" s="5">
        <f t="shared" si="347"/>
        <v>81.074596774193552</v>
      </c>
      <c r="W134" s="5">
        <f t="shared" si="347"/>
        <v>88.92741935483869</v>
      </c>
      <c r="X134" s="5">
        <f t="shared" ref="X134:X140" si="348">AE121</f>
        <v>68.99798387096773</v>
      </c>
      <c r="Y134" s="5">
        <f t="shared" si="332"/>
        <v>68.560483870967772</v>
      </c>
      <c r="Z134" s="5">
        <f t="shared" si="332"/>
        <v>84.895161290322577</v>
      </c>
      <c r="AA134" s="5">
        <f t="shared" ref="AA134:AA140" si="349">AP121</f>
        <v>56.417338709677423</v>
      </c>
      <c r="AB134" s="5">
        <f t="shared" si="333"/>
        <v>69.834677419354833</v>
      </c>
      <c r="AC134" s="5">
        <f t="shared" si="333"/>
        <v>79.415322580645167</v>
      </c>
    </row>
    <row r="135" spans="1:29" x14ac:dyDescent="0.45">
      <c r="A135" s="3">
        <v>5</v>
      </c>
      <c r="B135" s="5">
        <f t="shared" si="334"/>
        <v>55.666666666666664</v>
      </c>
      <c r="C135" s="5">
        <f t="shared" si="335"/>
        <v>70.333333333333329</v>
      </c>
      <c r="D135" s="5">
        <f t="shared" si="336"/>
        <v>79.3333333333333</v>
      </c>
      <c r="E135" s="5">
        <f t="shared" si="337"/>
        <v>45.000000000000007</v>
      </c>
      <c r="F135" s="5">
        <f t="shared" si="338"/>
        <v>79.666666666666671</v>
      </c>
      <c r="G135" s="5">
        <f t="shared" si="339"/>
        <v>76.333333333333343</v>
      </c>
      <c r="H135" s="5">
        <f t="shared" si="340"/>
        <v>43.333333333333336</v>
      </c>
      <c r="I135" s="5">
        <f t="shared" si="341"/>
        <v>66.666666666666657</v>
      </c>
      <c r="J135" s="5">
        <f t="shared" si="342"/>
        <v>70.999999999999972</v>
      </c>
      <c r="K135" s="5">
        <f t="shared" si="343"/>
        <v>46.666666666666671</v>
      </c>
      <c r="L135" s="5">
        <f t="shared" si="344"/>
        <v>65.666666666666657</v>
      </c>
      <c r="M135" s="5">
        <f t="shared" si="345"/>
        <v>80.666666666666657</v>
      </c>
      <c r="Q135" s="3">
        <v>5</v>
      </c>
      <c r="R135" s="5">
        <f t="shared" si="346"/>
        <v>57.423387096774192</v>
      </c>
      <c r="S135" s="5">
        <f t="shared" si="330"/>
        <v>86.237903225806477</v>
      </c>
      <c r="T135" s="5">
        <f t="shared" si="330"/>
        <v>77.564516129032228</v>
      </c>
      <c r="U135" s="5">
        <f t="shared" si="347"/>
        <v>56.852822580645167</v>
      </c>
      <c r="V135" s="5">
        <f t="shared" si="347"/>
        <v>91.677419354838705</v>
      </c>
      <c r="W135" s="5">
        <f t="shared" si="347"/>
        <v>81.284274193548384</v>
      </c>
      <c r="X135" s="5">
        <f t="shared" si="348"/>
        <v>51.082661290322584</v>
      </c>
      <c r="Y135" s="5">
        <f t="shared" si="332"/>
        <v>87.038306451612911</v>
      </c>
      <c r="Z135" s="5">
        <f t="shared" si="332"/>
        <v>71.135080645161281</v>
      </c>
      <c r="AA135" s="5">
        <f t="shared" si="349"/>
        <v>50.06451612903227</v>
      </c>
      <c r="AB135" s="5">
        <f t="shared" si="333"/>
        <v>78.451612903225794</v>
      </c>
      <c r="AC135" s="5">
        <f t="shared" si="333"/>
        <v>88.69354838709674</v>
      </c>
    </row>
    <row r="136" spans="1:29" x14ac:dyDescent="0.45">
      <c r="A136" s="3">
        <v>7</v>
      </c>
      <c r="B136" s="5">
        <f t="shared" si="334"/>
        <v>48.666666666666664</v>
      </c>
      <c r="C136" s="5">
        <f t="shared" si="335"/>
        <v>81</v>
      </c>
      <c r="D136" s="5">
        <f t="shared" si="336"/>
        <v>82.000000000000014</v>
      </c>
      <c r="E136" s="5">
        <f t="shared" si="337"/>
        <v>42.333333333333336</v>
      </c>
      <c r="F136" s="5">
        <f t="shared" si="338"/>
        <v>90.999999999999986</v>
      </c>
      <c r="G136" s="5">
        <f t="shared" si="339"/>
        <v>69.666666666666657</v>
      </c>
      <c r="H136" s="5">
        <f t="shared" si="340"/>
        <v>54.666666666666664</v>
      </c>
      <c r="I136" s="5">
        <f t="shared" si="341"/>
        <v>85.666666666666657</v>
      </c>
      <c r="J136" s="5">
        <f t="shared" si="342"/>
        <v>88.333333333333343</v>
      </c>
      <c r="K136" s="5">
        <f t="shared" si="343"/>
        <v>44</v>
      </c>
      <c r="L136" s="5">
        <f t="shared" si="344"/>
        <v>76.333333333333329</v>
      </c>
      <c r="M136" s="5">
        <f t="shared" si="345"/>
        <v>78.666666666666671</v>
      </c>
      <c r="Q136" s="3">
        <v>7</v>
      </c>
      <c r="R136" s="5">
        <f t="shared" si="346"/>
        <v>58.606854838709673</v>
      </c>
      <c r="S136" s="5">
        <f t="shared" si="330"/>
        <v>92.731854838709666</v>
      </c>
      <c r="T136" s="5">
        <f t="shared" si="330"/>
        <v>85.596774193548384</v>
      </c>
      <c r="U136" s="5">
        <f t="shared" si="347"/>
        <v>58.949596774193559</v>
      </c>
      <c r="V136" s="5">
        <f t="shared" si="347"/>
        <v>94.588709677419359</v>
      </c>
      <c r="W136" s="5">
        <f t="shared" si="347"/>
        <v>71.8125</v>
      </c>
      <c r="X136" s="5">
        <f t="shared" si="348"/>
        <v>62.1875</v>
      </c>
      <c r="Y136" s="5">
        <f t="shared" si="332"/>
        <v>98.024193548387103</v>
      </c>
      <c r="Z136" s="5">
        <f t="shared" si="332"/>
        <v>88.699596774193552</v>
      </c>
      <c r="AA136" s="5">
        <f t="shared" si="349"/>
        <v>53.635080645161281</v>
      </c>
      <c r="AB136" s="5">
        <f t="shared" si="333"/>
        <v>89.336693548387075</v>
      </c>
      <c r="AC136" s="5">
        <f t="shared" si="333"/>
        <v>76.625</v>
      </c>
    </row>
    <row r="137" spans="1:29" x14ac:dyDescent="0.45">
      <c r="A137" s="3">
        <v>9</v>
      </c>
      <c r="B137" s="5">
        <f t="shared" si="334"/>
        <v>56.666666666666671</v>
      </c>
      <c r="C137" s="5">
        <f t="shared" si="335"/>
        <v>82.666666666666671</v>
      </c>
      <c r="D137" s="5">
        <f t="shared" si="336"/>
        <v>83</v>
      </c>
      <c r="E137" s="5">
        <f t="shared" si="337"/>
        <v>49</v>
      </c>
      <c r="F137" s="5">
        <f t="shared" si="338"/>
        <v>94.333333333333329</v>
      </c>
      <c r="G137" s="5">
        <f t="shared" si="339"/>
        <v>82.666666666666657</v>
      </c>
      <c r="H137" s="5">
        <f t="shared" si="340"/>
        <v>54.999999999999986</v>
      </c>
      <c r="I137" s="5">
        <f t="shared" si="341"/>
        <v>88.666666666666671</v>
      </c>
      <c r="J137" s="5">
        <f t="shared" si="342"/>
        <v>79.666666666666643</v>
      </c>
      <c r="K137" s="5">
        <f t="shared" si="343"/>
        <v>40.666666666666664</v>
      </c>
      <c r="L137" s="5">
        <f t="shared" si="344"/>
        <v>81.666666666666671</v>
      </c>
      <c r="M137" s="5">
        <f t="shared" si="345"/>
        <v>76.666666666666671</v>
      </c>
      <c r="Q137" s="3">
        <v>9</v>
      </c>
      <c r="R137" s="5">
        <f t="shared" si="346"/>
        <v>65.745967741935459</v>
      </c>
      <c r="S137" s="5">
        <f t="shared" si="330"/>
        <v>89.040322580645167</v>
      </c>
      <c r="T137" s="5">
        <f t="shared" si="330"/>
        <v>85.564516129032228</v>
      </c>
      <c r="U137" s="5">
        <f t="shared" si="347"/>
        <v>57.42137096774195</v>
      </c>
      <c r="V137" s="5">
        <f t="shared" si="347"/>
        <v>97.852822580645181</v>
      </c>
      <c r="W137" s="5">
        <f t="shared" si="347"/>
        <v>88.112903225806448</v>
      </c>
      <c r="X137" s="5">
        <f t="shared" si="348"/>
        <v>63.953629032258064</v>
      </c>
      <c r="Y137" s="5">
        <f t="shared" si="332"/>
        <v>94.903225806451601</v>
      </c>
      <c r="Z137" s="5">
        <f t="shared" si="332"/>
        <v>77.209677419354819</v>
      </c>
      <c r="AA137" s="5">
        <f t="shared" si="349"/>
        <v>52.024193548387096</v>
      </c>
      <c r="AB137" s="5">
        <f t="shared" si="333"/>
        <v>87.679435483870975</v>
      </c>
      <c r="AC137" s="5">
        <f t="shared" si="333"/>
        <v>86.45362903225805</v>
      </c>
    </row>
    <row r="138" spans="1:29" x14ac:dyDescent="0.45">
      <c r="A138" s="3">
        <v>11</v>
      </c>
      <c r="B138" s="5">
        <f t="shared" si="334"/>
        <v>40.666666666666671</v>
      </c>
      <c r="C138" s="5">
        <f t="shared" si="335"/>
        <v>92.333333333333314</v>
      </c>
      <c r="D138" s="5">
        <f t="shared" si="336"/>
        <v>82.666666666666671</v>
      </c>
      <c r="E138" s="5">
        <f t="shared" si="337"/>
        <v>47.333333333333329</v>
      </c>
      <c r="F138" s="5">
        <f t="shared" si="338"/>
        <v>91.999999999999986</v>
      </c>
      <c r="G138" s="5">
        <f t="shared" si="339"/>
        <v>81.666666666666671</v>
      </c>
      <c r="H138" s="5">
        <f t="shared" si="340"/>
        <v>46.333333333333329</v>
      </c>
      <c r="I138" s="5">
        <f t="shared" si="341"/>
        <v>89.999999999999972</v>
      </c>
      <c r="J138" s="5">
        <f t="shared" si="342"/>
        <v>86.666666666666657</v>
      </c>
      <c r="K138" s="5">
        <f t="shared" si="343"/>
        <v>52.333333333333329</v>
      </c>
      <c r="L138" s="5">
        <f t="shared" si="344"/>
        <v>92.666666666666671</v>
      </c>
      <c r="M138" s="5">
        <f t="shared" si="345"/>
        <v>90.333333333333343</v>
      </c>
      <c r="Q138" s="3">
        <v>11</v>
      </c>
      <c r="R138" s="5">
        <f t="shared" si="346"/>
        <v>53.991935483870975</v>
      </c>
      <c r="S138" s="5">
        <f t="shared" si="330"/>
        <v>94.709677419354847</v>
      </c>
      <c r="T138" s="5">
        <f t="shared" si="330"/>
        <v>88.560483870967758</v>
      </c>
      <c r="U138" s="5">
        <f t="shared" si="347"/>
        <v>61.201612903225808</v>
      </c>
      <c r="V138" s="5">
        <f t="shared" si="347"/>
        <v>98.782258064516157</v>
      </c>
      <c r="W138" s="5">
        <f t="shared" si="347"/>
        <v>81.85685483870968</v>
      </c>
      <c r="X138" s="5">
        <f t="shared" si="348"/>
        <v>58.354838709677438</v>
      </c>
      <c r="Y138" s="5">
        <f t="shared" si="332"/>
        <v>94.572580645161295</v>
      </c>
      <c r="Z138" s="5">
        <f t="shared" si="332"/>
        <v>90.653225806451616</v>
      </c>
      <c r="AA138" s="5">
        <f t="shared" si="349"/>
        <v>65.036290322580655</v>
      </c>
      <c r="AB138" s="5">
        <f t="shared" si="333"/>
        <v>98.620967741935473</v>
      </c>
      <c r="AC138" s="5">
        <f t="shared" si="333"/>
        <v>95.427419354838705</v>
      </c>
    </row>
    <row r="139" spans="1:29" x14ac:dyDescent="0.45">
      <c r="A139" s="3">
        <v>13</v>
      </c>
      <c r="B139" s="5">
        <f t="shared" si="334"/>
        <v>49.333333333333329</v>
      </c>
      <c r="C139" s="5">
        <f t="shared" si="335"/>
        <v>95.333333333333329</v>
      </c>
      <c r="D139" s="5">
        <f t="shared" si="336"/>
        <v>82.000000000000014</v>
      </c>
      <c r="E139" s="5">
        <f t="shared" si="337"/>
        <v>50.666666666666671</v>
      </c>
      <c r="F139" s="5">
        <f t="shared" si="338"/>
        <v>94.666666666666657</v>
      </c>
      <c r="G139" s="5">
        <f t="shared" si="339"/>
        <v>86.666666666666686</v>
      </c>
      <c r="H139" s="5">
        <f t="shared" si="340"/>
        <v>45</v>
      </c>
      <c r="I139" s="5">
        <f t="shared" si="341"/>
        <v>95.999999999999972</v>
      </c>
      <c r="J139" s="5">
        <f t="shared" si="342"/>
        <v>84.666666666666671</v>
      </c>
      <c r="K139" s="5">
        <f t="shared" si="343"/>
        <v>52.666666666666664</v>
      </c>
      <c r="L139" s="5">
        <f t="shared" si="344"/>
        <v>94</v>
      </c>
      <c r="M139" s="5">
        <f t="shared" si="345"/>
        <v>85.666666666666671</v>
      </c>
      <c r="Q139" s="3">
        <v>13</v>
      </c>
      <c r="R139" s="5">
        <f t="shared" si="346"/>
        <v>69.258064516129025</v>
      </c>
      <c r="S139" s="5">
        <f t="shared" si="330"/>
        <v>91.145161290322591</v>
      </c>
      <c r="T139" s="5">
        <f t="shared" si="330"/>
        <v>85.46572580645163</v>
      </c>
      <c r="U139" s="5">
        <f t="shared" si="347"/>
        <v>59.965725806451601</v>
      </c>
      <c r="V139" s="5">
        <f t="shared" si="347"/>
        <v>95.193548387096769</v>
      </c>
      <c r="W139" s="5">
        <f t="shared" si="347"/>
        <v>85.612903225806448</v>
      </c>
      <c r="X139" s="5">
        <f t="shared" si="348"/>
        <v>55.084677419354833</v>
      </c>
      <c r="Y139" s="5">
        <f t="shared" si="332"/>
        <v>98.887096774193566</v>
      </c>
      <c r="Z139" s="5">
        <f t="shared" si="332"/>
        <v>88.602822580645153</v>
      </c>
      <c r="AA139" s="5">
        <f t="shared" si="349"/>
        <v>50.153225806451601</v>
      </c>
      <c r="AB139" s="5">
        <f t="shared" si="333"/>
        <v>99.370967741935502</v>
      </c>
      <c r="AC139" s="5">
        <f t="shared" si="333"/>
        <v>92.298387096774178</v>
      </c>
    </row>
    <row r="140" spans="1:29" x14ac:dyDescent="0.45">
      <c r="A140" s="3">
        <v>15</v>
      </c>
      <c r="B140" s="5">
        <f t="shared" si="334"/>
        <v>46</v>
      </c>
      <c r="C140" s="5">
        <f t="shared" si="335"/>
        <v>95.333333333333329</v>
      </c>
      <c r="D140" s="5">
        <f t="shared" si="336"/>
        <v>90.333333333333314</v>
      </c>
      <c r="E140" s="5">
        <f t="shared" si="337"/>
        <v>42.999999999999993</v>
      </c>
      <c r="F140" s="5">
        <f t="shared" si="338"/>
        <v>95.333333333333329</v>
      </c>
      <c r="G140" s="5">
        <f t="shared" si="339"/>
        <v>83.333333333333343</v>
      </c>
      <c r="H140" s="5">
        <f t="shared" si="340"/>
        <v>50.66666666666665</v>
      </c>
      <c r="I140" s="5">
        <f t="shared" si="341"/>
        <v>95.3333333333333</v>
      </c>
      <c r="J140" s="5">
        <f t="shared" si="342"/>
        <v>89.333333333333314</v>
      </c>
      <c r="K140" s="5">
        <f t="shared" si="343"/>
        <v>41.666666666666671</v>
      </c>
      <c r="L140" s="5">
        <f t="shared" si="344"/>
        <v>94.3333333333333</v>
      </c>
      <c r="M140" s="5">
        <f t="shared" si="345"/>
        <v>80.999999999999986</v>
      </c>
      <c r="Q140" s="3">
        <v>15</v>
      </c>
      <c r="R140" s="5">
        <f t="shared" si="346"/>
        <v>76.461693548387103</v>
      </c>
      <c r="S140" s="5">
        <f t="shared" si="330"/>
        <v>99.266129032258064</v>
      </c>
      <c r="T140" s="5">
        <f t="shared" si="330"/>
        <v>88.935483870967744</v>
      </c>
      <c r="U140" s="5">
        <f t="shared" si="347"/>
        <v>68.296370967741922</v>
      </c>
      <c r="V140" s="5">
        <f t="shared" si="347"/>
        <v>99.83064516129032</v>
      </c>
      <c r="W140" s="5">
        <f t="shared" si="347"/>
        <v>96.83064516129032</v>
      </c>
      <c r="X140" s="5">
        <f t="shared" si="348"/>
        <v>59.189516129032256</v>
      </c>
      <c r="Y140" s="5">
        <f t="shared" si="332"/>
        <v>99.887096774193566</v>
      </c>
      <c r="Z140" s="5">
        <f t="shared" si="332"/>
        <v>94.70564516129032</v>
      </c>
      <c r="AA140" s="5">
        <f t="shared" si="349"/>
        <v>55.953629032258064</v>
      </c>
      <c r="AB140" s="5">
        <f t="shared" si="333"/>
        <v>99.258064516129053</v>
      </c>
      <c r="AC140" s="5">
        <f t="shared" si="333"/>
        <v>81.620967741935473</v>
      </c>
    </row>
    <row r="142" spans="1:29" x14ac:dyDescent="0.45">
      <c r="A142" t="s">
        <v>42</v>
      </c>
      <c r="N142" t="s">
        <v>37</v>
      </c>
    </row>
    <row r="143" spans="1:29" x14ac:dyDescent="0.45">
      <c r="A143" t="s">
        <v>41</v>
      </c>
      <c r="B143" t="s">
        <v>29</v>
      </c>
      <c r="C143" t="s">
        <v>44</v>
      </c>
      <c r="N143" t="s">
        <v>41</v>
      </c>
      <c r="O143" t="s">
        <v>29</v>
      </c>
      <c r="P143" t="s">
        <v>44</v>
      </c>
    </row>
    <row r="144" spans="1:29" x14ac:dyDescent="0.45">
      <c r="A144" t="s">
        <v>27</v>
      </c>
      <c r="B144" s="7">
        <v>5</v>
      </c>
      <c r="C144">
        <v>1</v>
      </c>
      <c r="D144">
        <v>3</v>
      </c>
      <c r="E144">
        <v>5</v>
      </c>
      <c r="F144">
        <v>7</v>
      </c>
      <c r="G144">
        <v>9</v>
      </c>
      <c r="H144">
        <v>11</v>
      </c>
      <c r="I144">
        <v>13</v>
      </c>
      <c r="J144">
        <v>15</v>
      </c>
      <c r="N144" t="s">
        <v>27</v>
      </c>
      <c r="O144" s="7">
        <v>5</v>
      </c>
      <c r="P144">
        <v>1</v>
      </c>
      <c r="Q144">
        <v>3</v>
      </c>
      <c r="R144">
        <v>5</v>
      </c>
      <c r="S144">
        <v>7</v>
      </c>
      <c r="T144">
        <v>9</v>
      </c>
      <c r="U144">
        <v>11</v>
      </c>
      <c r="V144">
        <v>13</v>
      </c>
      <c r="W144">
        <v>15</v>
      </c>
    </row>
    <row r="145" spans="2:23" x14ac:dyDescent="0.45">
      <c r="B145" t="s">
        <v>43</v>
      </c>
      <c r="C145">
        <f>AL13</f>
        <v>14.333333333333343</v>
      </c>
      <c r="D145">
        <f>AL29</f>
        <v>47</v>
      </c>
      <c r="E145">
        <f>AL43</f>
        <v>65.666666666666657</v>
      </c>
      <c r="F145">
        <f>AL60</f>
        <v>76.333333333333329</v>
      </c>
      <c r="G145">
        <f>AL74</f>
        <v>81.666666666666671</v>
      </c>
      <c r="H145">
        <f>AL88</f>
        <v>92.666666666666671</v>
      </c>
      <c r="I145">
        <f>AL101</f>
        <v>94</v>
      </c>
      <c r="J145">
        <f>AL114</f>
        <v>94.3333333333333</v>
      </c>
      <c r="O145" t="s">
        <v>43</v>
      </c>
      <c r="P145">
        <f>AQ13</f>
        <v>55.79032258064516</v>
      </c>
      <c r="Q145">
        <f>AQ29</f>
        <v>69.834677419354833</v>
      </c>
      <c r="R145">
        <f>AQ43</f>
        <v>78.451612903225794</v>
      </c>
      <c r="S145">
        <f>AQ60</f>
        <v>89.336693548387075</v>
      </c>
      <c r="T145">
        <f>AQ74</f>
        <v>87.679435483870975</v>
      </c>
      <c r="U145">
        <f>AQ88</f>
        <v>98.620967741935473</v>
      </c>
      <c r="V145">
        <f>AQ101</f>
        <v>99.370967741935502</v>
      </c>
      <c r="W145">
        <f>AQ114</f>
        <v>99.258064516129053</v>
      </c>
    </row>
    <row r="146" spans="2:23" x14ac:dyDescent="0.45">
      <c r="B146" t="s">
        <v>40</v>
      </c>
      <c r="C146">
        <f>AL14</f>
        <v>8.6137988636952496</v>
      </c>
      <c r="D146">
        <f>AL30</f>
        <v>17.458946555127977</v>
      </c>
      <c r="E146">
        <f>AL44</f>
        <v>25.094881677739625</v>
      </c>
      <c r="F146">
        <f>AL61</f>
        <v>16.588706555521011</v>
      </c>
      <c r="G146">
        <f>AL75</f>
        <v>12.397729780234087</v>
      </c>
      <c r="H146">
        <f>AL89</f>
        <v>7.9814599982524204</v>
      </c>
      <c r="I146">
        <f>AL102</f>
        <v>5.8373002384727419</v>
      </c>
      <c r="J146">
        <f>AL115</f>
        <v>7.0360623106611326</v>
      </c>
      <c r="O146" t="s">
        <v>40</v>
      </c>
      <c r="P146">
        <f>AQ14</f>
        <v>21.711794551180603</v>
      </c>
      <c r="Q146">
        <f>AQ30</f>
        <v>21.508878663062646</v>
      </c>
      <c r="R146">
        <f>AQ44</f>
        <v>22.295178154189383</v>
      </c>
      <c r="S146">
        <f>AQ61</f>
        <v>20.971369899981518</v>
      </c>
      <c r="T146">
        <f>AQ75</f>
        <v>17.518351423938618</v>
      </c>
      <c r="U146">
        <f>AQ89</f>
        <v>2.3763957810754337</v>
      </c>
      <c r="V146">
        <f>AQ102</f>
        <v>1.6074279827167153</v>
      </c>
      <c r="W146">
        <f>AQ115</f>
        <v>2.0155196211589388</v>
      </c>
    </row>
    <row r="147" spans="2:23" x14ac:dyDescent="0.45">
      <c r="B147" t="s">
        <v>45</v>
      </c>
      <c r="C147">
        <f>C145+C146</f>
        <v>22.947132197028594</v>
      </c>
      <c r="D147">
        <f t="shared" ref="D147:J147" si="350">D145+D146</f>
        <v>64.45894655512798</v>
      </c>
      <c r="E147">
        <f t="shared" si="350"/>
        <v>90.761548344406279</v>
      </c>
      <c r="F147">
        <f t="shared" si="350"/>
        <v>92.922039888854343</v>
      </c>
      <c r="G147">
        <f t="shared" si="350"/>
        <v>94.064396446900759</v>
      </c>
      <c r="H147">
        <f t="shared" si="350"/>
        <v>100.64812666491909</v>
      </c>
      <c r="I147">
        <f t="shared" si="350"/>
        <v>99.837300238472736</v>
      </c>
      <c r="J147">
        <f t="shared" si="350"/>
        <v>101.36939564399444</v>
      </c>
      <c r="O147" t="s">
        <v>45</v>
      </c>
      <c r="P147">
        <f>P145+P146</f>
        <v>77.50211713182577</v>
      </c>
      <c r="Q147">
        <f t="shared" ref="Q147" si="351">Q145+Q146</f>
        <v>91.343556082417479</v>
      </c>
      <c r="R147">
        <f t="shared" ref="R147" si="352">R145+R146</f>
        <v>100.74679105741518</v>
      </c>
      <c r="S147">
        <f t="shared" ref="S147" si="353">S145+S146</f>
        <v>110.30806344836859</v>
      </c>
      <c r="T147">
        <f t="shared" ref="T147" si="354">T145+T146</f>
        <v>105.19778690780959</v>
      </c>
      <c r="U147">
        <f t="shared" ref="U147" si="355">U145+U146</f>
        <v>100.9973635230109</v>
      </c>
      <c r="V147">
        <f t="shared" ref="V147" si="356">V145+V146</f>
        <v>100.97839572465222</v>
      </c>
      <c r="W147">
        <f t="shared" ref="W147" si="357">W145+W146</f>
        <v>101.273584137288</v>
      </c>
    </row>
    <row r="148" spans="2:23" x14ac:dyDescent="0.45">
      <c r="B148" t="s">
        <v>46</v>
      </c>
      <c r="C148">
        <f>C145-C146</f>
        <v>5.7195344696380932</v>
      </c>
      <c r="D148">
        <f t="shared" ref="D148:J148" si="358">D145-D146</f>
        <v>29.541053444872023</v>
      </c>
      <c r="E148">
        <f t="shared" si="358"/>
        <v>40.571784988927035</v>
      </c>
      <c r="F148">
        <f t="shared" si="358"/>
        <v>59.744626777812314</v>
      </c>
      <c r="G148">
        <f t="shared" si="358"/>
        <v>69.268936886432584</v>
      </c>
      <c r="H148">
        <f t="shared" si="358"/>
        <v>84.685206668414253</v>
      </c>
      <c r="I148">
        <f t="shared" si="358"/>
        <v>88.162699761527264</v>
      </c>
      <c r="J148">
        <f t="shared" si="358"/>
        <v>87.297271022672163</v>
      </c>
      <c r="O148" t="s">
        <v>46</v>
      </c>
      <c r="P148">
        <f>P145-P146</f>
        <v>34.078528029464557</v>
      </c>
      <c r="Q148">
        <f t="shared" ref="Q148:W148" si="359">Q145-Q146</f>
        <v>48.325798756292187</v>
      </c>
      <c r="R148">
        <f t="shared" si="359"/>
        <v>56.156434749036407</v>
      </c>
      <c r="S148">
        <f t="shared" si="359"/>
        <v>68.365323648405564</v>
      </c>
      <c r="T148">
        <f t="shared" si="359"/>
        <v>70.161084059932364</v>
      </c>
      <c r="U148">
        <f t="shared" si="359"/>
        <v>96.244571960860043</v>
      </c>
      <c r="V148">
        <f t="shared" si="359"/>
        <v>97.763539759218787</v>
      </c>
      <c r="W148">
        <f t="shared" si="359"/>
        <v>97.242544894970109</v>
      </c>
    </row>
    <row r="149" spans="2:23" x14ac:dyDescent="0.45">
      <c r="F149" s="6"/>
    </row>
    <row r="150" spans="2:23" x14ac:dyDescent="0.45">
      <c r="F150" s="6"/>
    </row>
    <row r="151" spans="2:23" x14ac:dyDescent="0.45">
      <c r="F151" s="6"/>
    </row>
    <row r="152" spans="2:23" x14ac:dyDescent="0.45">
      <c r="F152" s="6"/>
    </row>
    <row r="153" spans="2:23" x14ac:dyDescent="0.45">
      <c r="F153" s="6"/>
    </row>
    <row r="154" spans="2:23" x14ac:dyDescent="0.45">
      <c r="F154" s="6"/>
    </row>
    <row r="155" spans="2:23" x14ac:dyDescent="0.45">
      <c r="F155" s="6"/>
    </row>
    <row r="168" spans="1:42" x14ac:dyDescent="0.45">
      <c r="A168" t="s">
        <v>49</v>
      </c>
      <c r="B168" t="s">
        <v>42</v>
      </c>
      <c r="L168" t="s">
        <v>49</v>
      </c>
      <c r="M168" t="s">
        <v>42</v>
      </c>
      <c r="W168" t="s">
        <v>49</v>
      </c>
      <c r="X168" t="s">
        <v>42</v>
      </c>
      <c r="AH168" t="s">
        <v>49</v>
      </c>
      <c r="AI168" t="s">
        <v>42</v>
      </c>
    </row>
    <row r="169" spans="1:42" x14ac:dyDescent="0.45">
      <c r="A169" t="s">
        <v>47</v>
      </c>
      <c r="B169" t="s">
        <v>48</v>
      </c>
      <c r="L169" t="s">
        <v>47</v>
      </c>
      <c r="M169" t="s">
        <v>51</v>
      </c>
      <c r="W169" t="s">
        <v>47</v>
      </c>
      <c r="X169" t="s">
        <v>52</v>
      </c>
      <c r="AH169" t="s">
        <v>47</v>
      </c>
      <c r="AI169" t="s">
        <v>53</v>
      </c>
    </row>
    <row r="170" spans="1:42" s="1" customFormat="1" x14ac:dyDescent="0.45">
      <c r="A170" s="1" t="s">
        <v>50</v>
      </c>
      <c r="B170" s="1">
        <v>1</v>
      </c>
      <c r="C170" s="1">
        <v>3</v>
      </c>
      <c r="D170" s="1">
        <v>5</v>
      </c>
      <c r="E170" s="1">
        <v>7</v>
      </c>
      <c r="F170" s="1">
        <v>9</v>
      </c>
      <c r="G170" s="1">
        <v>11</v>
      </c>
      <c r="H170" s="1">
        <v>13</v>
      </c>
      <c r="I170" s="1">
        <v>15</v>
      </c>
      <c r="L170" s="1" t="s">
        <v>50</v>
      </c>
      <c r="M170" s="1">
        <v>1</v>
      </c>
      <c r="N170" s="1">
        <v>3</v>
      </c>
      <c r="O170" s="1">
        <v>5</v>
      </c>
      <c r="P170" s="1">
        <v>7</v>
      </c>
      <c r="Q170" s="1">
        <v>9</v>
      </c>
      <c r="R170" s="1">
        <v>11</v>
      </c>
      <c r="S170" s="1">
        <v>13</v>
      </c>
      <c r="T170" s="1">
        <v>15</v>
      </c>
      <c r="W170" s="1" t="s">
        <v>50</v>
      </c>
      <c r="X170" s="1">
        <v>1</v>
      </c>
      <c r="Y170" s="1">
        <v>3</v>
      </c>
      <c r="Z170" s="1">
        <v>5</v>
      </c>
      <c r="AA170" s="1">
        <v>7</v>
      </c>
      <c r="AB170" s="1">
        <v>9</v>
      </c>
      <c r="AC170" s="1">
        <v>11</v>
      </c>
      <c r="AD170" s="1">
        <v>13</v>
      </c>
      <c r="AE170" s="1">
        <v>15</v>
      </c>
      <c r="AH170" s="1" t="s">
        <v>50</v>
      </c>
      <c r="AI170" s="1">
        <v>1</v>
      </c>
      <c r="AJ170" s="1">
        <v>3</v>
      </c>
      <c r="AK170" s="1">
        <v>5</v>
      </c>
      <c r="AL170" s="1">
        <v>7</v>
      </c>
      <c r="AM170" s="1">
        <v>9</v>
      </c>
      <c r="AN170" s="1">
        <v>11</v>
      </c>
      <c r="AO170" s="1">
        <v>13</v>
      </c>
      <c r="AP170" s="1">
        <v>15</v>
      </c>
    </row>
    <row r="171" spans="1:42" x14ac:dyDescent="0.45">
      <c r="B171" cm="1">
        <f t="array" ref="B171:B180">E3:E12</f>
        <v>10</v>
      </c>
      <c r="C171" cm="1">
        <f t="array" ref="C171:C180">E19:E28</f>
        <v>13.3333333333333</v>
      </c>
      <c r="D171" cm="1">
        <f t="array" ref="D171:D180">E33:E42</f>
        <v>83.3333333333333</v>
      </c>
      <c r="E171" cm="1">
        <f t="array" ref="E171:E180">E50:E59</f>
        <v>86.6666666666667</v>
      </c>
      <c r="F171" cm="1">
        <f t="array" ref="F171:F180">E64:E73</f>
        <v>60</v>
      </c>
      <c r="G171" cm="1">
        <f t="array" ref="G171:G180">E78:E87</f>
        <v>100</v>
      </c>
      <c r="H171" cm="1">
        <f t="array" ref="H171:H180">E91:E100</f>
        <v>86.6666666666667</v>
      </c>
      <c r="I171" cm="1">
        <f t="array" ref="I171:I180">E104:E113</f>
        <v>93.3333333333333</v>
      </c>
      <c r="M171" cm="1">
        <f t="array" ref="M171:M180">P3:P12</f>
        <v>10</v>
      </c>
      <c r="N171" cm="1">
        <f t="array" ref="N171:N180">P19:P28</f>
        <v>53.3333333333333</v>
      </c>
      <c r="O171" cm="1">
        <f t="array" ref="O171:O180">P33:P42</f>
        <v>100</v>
      </c>
      <c r="P171" cm="1">
        <f t="array" ref="P171:P180">P50:P59</f>
        <v>86.6666666666667</v>
      </c>
      <c r="Q171" cm="1">
        <f t="array" ref="Q171:Q180">P64:P73</f>
        <v>100</v>
      </c>
      <c r="R171" cm="1">
        <f t="array" ref="R171:R180">P78:P87</f>
        <v>93.3333333333333</v>
      </c>
      <c r="S171" cm="1">
        <f t="array" ref="S171:S180">P91:P100</f>
        <v>100</v>
      </c>
      <c r="T171" cm="1">
        <f t="array" ref="T171:T180">P104:P113</f>
        <v>93.3333333333333</v>
      </c>
      <c r="X171" cm="1">
        <f t="array" ref="X171:X180">AA3:AA12</f>
        <v>40</v>
      </c>
      <c r="Y171" cm="1">
        <f t="array" ref="Y171:Y180">AA19:AA28</f>
        <v>26.6666666666667</v>
      </c>
      <c r="Z171" cm="1">
        <f t="array" ref="Z171:Z180">AA33:AA42</f>
        <v>80</v>
      </c>
      <c r="AA171" cm="1">
        <f t="array" ref="AA171:AA180">AA50:AA59</f>
        <v>86.6666666666667</v>
      </c>
      <c r="AB171" cm="1">
        <f t="array" ref="AB171:AB180">AA64:AA73</f>
        <v>80</v>
      </c>
      <c r="AC171" cm="1">
        <f t="array" ref="AC171:AC180">AA78:AA87</f>
        <v>93.3333333333333</v>
      </c>
      <c r="AD171" cm="1">
        <f t="array" ref="AD171:AD180">AA91:AA100</f>
        <v>100</v>
      </c>
      <c r="AE171" cm="1">
        <f t="array" ref="AE171:AE180">AA104:AA113</f>
        <v>93.3333333333333</v>
      </c>
      <c r="AI171" cm="1">
        <f t="array" ref="AI171:AI180">AL3:AL12</f>
        <v>10</v>
      </c>
      <c r="AJ171" cm="1">
        <f t="array" ref="AJ171:AJ180">AL19:AL28</f>
        <v>53.3333333333333</v>
      </c>
      <c r="AK171" cm="1">
        <f t="array" ref="AK171:AK180">AL33:AL42</f>
        <v>83.3333333333333</v>
      </c>
      <c r="AL171" cm="1">
        <f t="array" ref="AL171:AL180">AL50:AL59</f>
        <v>86.6666666666667</v>
      </c>
      <c r="AM171" cm="1">
        <f t="array" ref="AM171:AM180">AL64:AL73</f>
        <v>70</v>
      </c>
      <c r="AN171" cm="1">
        <f t="array" ref="AN171:AN180">AL78:AL87</f>
        <v>86.6666666666667</v>
      </c>
      <c r="AO171" cm="1">
        <f t="array" ref="AO171:AO180">AL91:AL100</f>
        <v>100</v>
      </c>
      <c r="AP171" cm="1">
        <f t="array" ref="AP171:AP180">AL104:AL113</f>
        <v>93.3333333333333</v>
      </c>
    </row>
    <row r="172" spans="1:42" x14ac:dyDescent="0.45">
      <c r="B172">
        <v>26.6666666666667</v>
      </c>
      <c r="C172">
        <v>66.6666666666667</v>
      </c>
      <c r="D172">
        <v>73.3333333333333</v>
      </c>
      <c r="E172">
        <v>73.3333333333333</v>
      </c>
      <c r="F172">
        <v>93.3333333333333</v>
      </c>
      <c r="G172">
        <v>93.3333333333333</v>
      </c>
      <c r="H172">
        <v>100</v>
      </c>
      <c r="I172">
        <v>100</v>
      </c>
      <c r="M172">
        <v>23.3333333333333</v>
      </c>
      <c r="N172">
        <v>30</v>
      </c>
      <c r="O172">
        <v>100</v>
      </c>
      <c r="P172">
        <v>93.3333333333333</v>
      </c>
      <c r="Q172">
        <v>100</v>
      </c>
      <c r="R172">
        <v>80</v>
      </c>
      <c r="S172">
        <v>93.3333333333333</v>
      </c>
      <c r="T172">
        <v>100</v>
      </c>
      <c r="X172">
        <v>23.3333333333333</v>
      </c>
      <c r="Y172">
        <v>30</v>
      </c>
      <c r="Z172">
        <v>73.3333333333333</v>
      </c>
      <c r="AA172">
        <v>93.3333333333333</v>
      </c>
      <c r="AB172">
        <v>86.6666666666667</v>
      </c>
      <c r="AC172">
        <v>93.3333333333333</v>
      </c>
      <c r="AD172">
        <v>93.3333333333333</v>
      </c>
      <c r="AE172">
        <v>93.3333333333333</v>
      </c>
      <c r="AI172">
        <v>6.6666666666666696</v>
      </c>
      <c r="AJ172">
        <v>56.6666666666667</v>
      </c>
      <c r="AK172">
        <v>86.6666666666667</v>
      </c>
      <c r="AL172">
        <v>66.6666666666667</v>
      </c>
      <c r="AM172">
        <v>100</v>
      </c>
      <c r="AN172">
        <v>100</v>
      </c>
      <c r="AO172">
        <v>93.3333333333333</v>
      </c>
      <c r="AP172">
        <v>100</v>
      </c>
    </row>
    <row r="173" spans="1:42" x14ac:dyDescent="0.45">
      <c r="B173">
        <v>3.3333333333333299</v>
      </c>
      <c r="C173">
        <v>33.3333333333333</v>
      </c>
      <c r="D173">
        <v>80</v>
      </c>
      <c r="E173">
        <v>86.6666666666667</v>
      </c>
      <c r="F173">
        <v>93.3333333333333</v>
      </c>
      <c r="G173">
        <v>93.3333333333333</v>
      </c>
      <c r="H173">
        <v>100</v>
      </c>
      <c r="I173">
        <v>86.6666666666667</v>
      </c>
      <c r="M173">
        <v>6.6666666666666696</v>
      </c>
      <c r="N173">
        <v>66.6666666666667</v>
      </c>
      <c r="O173">
        <v>73.3333333333333</v>
      </c>
      <c r="P173">
        <v>100</v>
      </c>
      <c r="Q173">
        <v>93.3333333333333</v>
      </c>
      <c r="R173">
        <v>93.3333333333333</v>
      </c>
      <c r="S173">
        <v>93.3333333333333</v>
      </c>
      <c r="T173">
        <v>93.3333333333333</v>
      </c>
      <c r="X173">
        <v>6.6666666666666696</v>
      </c>
      <c r="Y173">
        <v>50</v>
      </c>
      <c r="Z173">
        <v>63.3333333333333</v>
      </c>
      <c r="AA173">
        <v>80</v>
      </c>
      <c r="AB173">
        <v>93.3333333333333</v>
      </c>
      <c r="AC173">
        <v>93.3333333333333</v>
      </c>
      <c r="AD173">
        <v>93.3333333333333</v>
      </c>
      <c r="AE173">
        <v>93.3333333333333</v>
      </c>
      <c r="AI173">
        <v>10</v>
      </c>
      <c r="AJ173">
        <v>30</v>
      </c>
      <c r="AK173">
        <v>33.3333333333333</v>
      </c>
      <c r="AL173">
        <v>80</v>
      </c>
      <c r="AM173">
        <v>86.6666666666667</v>
      </c>
      <c r="AN173">
        <v>86.6666666666667</v>
      </c>
      <c r="AO173">
        <v>100</v>
      </c>
      <c r="AP173">
        <v>76.6666666666667</v>
      </c>
    </row>
    <row r="174" spans="1:42" x14ac:dyDescent="0.45">
      <c r="B174">
        <v>33.3333333333333</v>
      </c>
      <c r="C174">
        <v>63.3333333333333</v>
      </c>
      <c r="D174">
        <v>76.6666666666667</v>
      </c>
      <c r="E174">
        <v>86.6666666666667</v>
      </c>
      <c r="F174">
        <v>86.6666666666667</v>
      </c>
      <c r="G174">
        <v>100</v>
      </c>
      <c r="H174">
        <v>100</v>
      </c>
      <c r="I174">
        <v>93.3333333333333</v>
      </c>
      <c r="M174">
        <v>13.3333333333333</v>
      </c>
      <c r="N174">
        <v>46.6666666666667</v>
      </c>
      <c r="O174">
        <v>63.3333333333333</v>
      </c>
      <c r="P174">
        <v>83.3333333333333</v>
      </c>
      <c r="Q174">
        <v>93.3333333333333</v>
      </c>
      <c r="R174">
        <v>100</v>
      </c>
      <c r="S174">
        <v>100</v>
      </c>
      <c r="T174">
        <v>93.3333333333333</v>
      </c>
      <c r="X174">
        <v>20</v>
      </c>
      <c r="Y174">
        <v>60</v>
      </c>
      <c r="Z174">
        <v>86.6666666666667</v>
      </c>
      <c r="AA174">
        <v>100</v>
      </c>
      <c r="AB174">
        <v>86.6666666666667</v>
      </c>
      <c r="AC174">
        <v>100</v>
      </c>
      <c r="AD174">
        <v>86.6666666666667</v>
      </c>
      <c r="AE174">
        <v>93.3333333333333</v>
      </c>
      <c r="AI174">
        <v>26.6666666666667</v>
      </c>
      <c r="AJ174">
        <v>20</v>
      </c>
      <c r="AK174">
        <v>26.6666666666667</v>
      </c>
      <c r="AL174">
        <v>43.3333333333333</v>
      </c>
      <c r="AM174">
        <v>86.6666666666667</v>
      </c>
      <c r="AN174">
        <v>86.6666666666667</v>
      </c>
      <c r="AO174">
        <v>100</v>
      </c>
      <c r="AP174">
        <v>100</v>
      </c>
    </row>
    <row r="175" spans="1:42" x14ac:dyDescent="0.45">
      <c r="B175">
        <v>3.3333333333333299</v>
      </c>
      <c r="C175">
        <v>26.6666666666667</v>
      </c>
      <c r="D175">
        <v>56.6666666666667</v>
      </c>
      <c r="E175">
        <v>76.6666666666667</v>
      </c>
      <c r="F175">
        <v>73.3333333333333</v>
      </c>
      <c r="G175">
        <v>70</v>
      </c>
      <c r="H175">
        <v>93.3333333333333</v>
      </c>
      <c r="I175">
        <v>100</v>
      </c>
      <c r="M175">
        <v>23.3333333333333</v>
      </c>
      <c r="N175">
        <v>66.6666666666667</v>
      </c>
      <c r="O175">
        <v>80</v>
      </c>
      <c r="P175">
        <v>93.3333333333333</v>
      </c>
      <c r="Q175">
        <v>93.3333333333333</v>
      </c>
      <c r="R175">
        <v>93.3333333333333</v>
      </c>
      <c r="S175">
        <v>93.3333333333333</v>
      </c>
      <c r="T175">
        <v>93.3333333333333</v>
      </c>
      <c r="X175">
        <v>20</v>
      </c>
      <c r="Y175">
        <v>60</v>
      </c>
      <c r="Z175">
        <v>63.3333333333333</v>
      </c>
      <c r="AA175">
        <v>93.3333333333333</v>
      </c>
      <c r="AB175">
        <v>93.3333333333333</v>
      </c>
      <c r="AC175">
        <v>86.6666666666667</v>
      </c>
      <c r="AD175">
        <v>100</v>
      </c>
      <c r="AE175">
        <v>100</v>
      </c>
      <c r="AI175">
        <v>30</v>
      </c>
      <c r="AJ175">
        <v>66.6666666666667</v>
      </c>
      <c r="AK175">
        <v>63.3333333333333</v>
      </c>
      <c r="AL175">
        <v>63.3333333333333</v>
      </c>
      <c r="AM175">
        <v>86.6666666666667</v>
      </c>
      <c r="AN175">
        <v>100</v>
      </c>
      <c r="AO175">
        <v>86.6666666666667</v>
      </c>
      <c r="AP175">
        <v>100</v>
      </c>
    </row>
    <row r="176" spans="1:42" x14ac:dyDescent="0.45">
      <c r="B176">
        <v>6.6666666666666696</v>
      </c>
      <c r="C176">
        <v>66.6666666666667</v>
      </c>
      <c r="D176">
        <v>60</v>
      </c>
      <c r="E176">
        <v>86.6666666666667</v>
      </c>
      <c r="F176">
        <v>86.6666666666667</v>
      </c>
      <c r="G176">
        <v>93.3333333333333</v>
      </c>
      <c r="H176">
        <v>100</v>
      </c>
      <c r="I176">
        <v>100</v>
      </c>
      <c r="M176">
        <v>6.6666666666666696</v>
      </c>
      <c r="N176">
        <v>53.3333333333333</v>
      </c>
      <c r="O176">
        <v>93.3333333333333</v>
      </c>
      <c r="P176">
        <v>100</v>
      </c>
      <c r="Q176">
        <v>93.3333333333333</v>
      </c>
      <c r="R176">
        <v>86.6666666666667</v>
      </c>
      <c r="S176">
        <v>80</v>
      </c>
      <c r="T176">
        <v>100</v>
      </c>
      <c r="X176">
        <v>30</v>
      </c>
      <c r="Y176">
        <v>60</v>
      </c>
      <c r="Z176">
        <v>63.3333333333333</v>
      </c>
      <c r="AA176">
        <v>86.6666666666667</v>
      </c>
      <c r="AB176">
        <v>100</v>
      </c>
      <c r="AC176">
        <v>86.6666666666667</v>
      </c>
      <c r="AD176">
        <v>100</v>
      </c>
      <c r="AE176">
        <v>93.3333333333333</v>
      </c>
      <c r="AI176">
        <v>6.6666666666666696</v>
      </c>
      <c r="AJ176">
        <v>60</v>
      </c>
      <c r="AK176">
        <v>100</v>
      </c>
      <c r="AL176">
        <v>70</v>
      </c>
      <c r="AM176">
        <v>100</v>
      </c>
      <c r="AN176">
        <v>80</v>
      </c>
      <c r="AO176">
        <v>93.3333333333333</v>
      </c>
      <c r="AP176">
        <v>100</v>
      </c>
    </row>
    <row r="177" spans="2:42" x14ac:dyDescent="0.45">
      <c r="B177">
        <v>16.6666666666667</v>
      </c>
      <c r="C177">
        <v>30</v>
      </c>
      <c r="D177">
        <v>93.3333333333333</v>
      </c>
      <c r="E177">
        <v>93.3333333333333</v>
      </c>
      <c r="F177">
        <v>100</v>
      </c>
      <c r="G177">
        <v>93.3333333333333</v>
      </c>
      <c r="H177">
        <v>86.6666666666667</v>
      </c>
      <c r="I177">
        <v>100</v>
      </c>
      <c r="M177">
        <v>10</v>
      </c>
      <c r="N177">
        <v>76.6666666666667</v>
      </c>
      <c r="O177">
        <v>80</v>
      </c>
      <c r="P177">
        <v>93.3333333333333</v>
      </c>
      <c r="Q177">
        <v>76.6666666666667</v>
      </c>
      <c r="R177">
        <v>93.3333333333333</v>
      </c>
      <c r="S177">
        <v>100</v>
      </c>
      <c r="T177">
        <v>100</v>
      </c>
      <c r="X177">
        <v>10</v>
      </c>
      <c r="Y177">
        <v>33.3333333333333</v>
      </c>
      <c r="Z177">
        <v>60</v>
      </c>
      <c r="AA177">
        <v>93.3333333333333</v>
      </c>
      <c r="AB177">
        <v>80</v>
      </c>
      <c r="AC177">
        <v>73.3333333333333</v>
      </c>
      <c r="AD177">
        <v>93.3333333333333</v>
      </c>
      <c r="AE177">
        <v>100</v>
      </c>
      <c r="AI177">
        <v>6.6666666666666696</v>
      </c>
      <c r="AJ177">
        <v>53.3333333333333</v>
      </c>
      <c r="AK177">
        <v>53.3333333333333</v>
      </c>
      <c r="AL177">
        <v>100</v>
      </c>
      <c r="AM177">
        <v>70</v>
      </c>
      <c r="AN177">
        <v>86.6666666666667</v>
      </c>
      <c r="AO177">
        <v>100</v>
      </c>
      <c r="AP177">
        <v>93.3333333333333</v>
      </c>
    </row>
    <row r="178" spans="2:42" x14ac:dyDescent="0.45">
      <c r="B178">
        <v>30</v>
      </c>
      <c r="C178">
        <v>33.3333333333333</v>
      </c>
      <c r="D178">
        <v>63.3333333333333</v>
      </c>
      <c r="E178">
        <v>80</v>
      </c>
      <c r="F178">
        <v>66.6666666666667</v>
      </c>
      <c r="G178">
        <v>86.6666666666667</v>
      </c>
      <c r="H178">
        <v>93.3333333333333</v>
      </c>
      <c r="I178">
        <v>86.6666666666667</v>
      </c>
      <c r="M178">
        <v>10</v>
      </c>
      <c r="N178">
        <v>50</v>
      </c>
      <c r="O178">
        <v>76.6666666666667</v>
      </c>
      <c r="P178">
        <v>80</v>
      </c>
      <c r="Q178">
        <v>93.3333333333333</v>
      </c>
      <c r="R178">
        <v>100</v>
      </c>
      <c r="S178">
        <v>100</v>
      </c>
      <c r="T178">
        <v>86.6666666666667</v>
      </c>
      <c r="X178">
        <v>3.3333333333333299</v>
      </c>
      <c r="Y178">
        <v>60</v>
      </c>
      <c r="Z178">
        <v>56.6666666666667</v>
      </c>
      <c r="AA178">
        <v>80</v>
      </c>
      <c r="AB178">
        <v>86.6666666666667</v>
      </c>
      <c r="AC178">
        <v>93.3333333333333</v>
      </c>
      <c r="AD178">
        <v>100</v>
      </c>
      <c r="AE178">
        <v>93.3333333333333</v>
      </c>
      <c r="AI178">
        <v>20</v>
      </c>
      <c r="AJ178">
        <v>40</v>
      </c>
      <c r="AK178">
        <v>93.3333333333333</v>
      </c>
      <c r="AL178">
        <v>86.6666666666667</v>
      </c>
      <c r="AM178">
        <v>80</v>
      </c>
      <c r="AN178">
        <v>100</v>
      </c>
      <c r="AO178">
        <v>93.3333333333333</v>
      </c>
      <c r="AP178">
        <v>93.3333333333333</v>
      </c>
    </row>
    <row r="179" spans="2:42" x14ac:dyDescent="0.45">
      <c r="B179">
        <v>0</v>
      </c>
      <c r="C179">
        <v>43.3333333333333</v>
      </c>
      <c r="D179">
        <v>60</v>
      </c>
      <c r="E179">
        <v>46.6666666666667</v>
      </c>
      <c r="F179">
        <v>86.6666666666667</v>
      </c>
      <c r="G179">
        <v>93.3333333333333</v>
      </c>
      <c r="H179">
        <v>93.3333333333333</v>
      </c>
      <c r="I179">
        <v>93.3333333333333</v>
      </c>
      <c r="M179">
        <v>3.3333333333333299</v>
      </c>
      <c r="N179">
        <v>56.6666666666667</v>
      </c>
      <c r="O179">
        <v>70</v>
      </c>
      <c r="P179">
        <v>86.6666666666667</v>
      </c>
      <c r="Q179">
        <v>100</v>
      </c>
      <c r="R179">
        <v>93.3333333333333</v>
      </c>
      <c r="S179">
        <v>93.3333333333333</v>
      </c>
      <c r="T179">
        <v>93.3333333333333</v>
      </c>
      <c r="X179">
        <v>36.6666666666667</v>
      </c>
      <c r="Y179">
        <v>60</v>
      </c>
      <c r="Z179">
        <v>46.6666666666667</v>
      </c>
      <c r="AA179">
        <v>70</v>
      </c>
      <c r="AB179">
        <v>86.6666666666667</v>
      </c>
      <c r="AC179">
        <v>100</v>
      </c>
      <c r="AD179">
        <v>93.3333333333333</v>
      </c>
      <c r="AE179">
        <v>93.3333333333333</v>
      </c>
      <c r="AI179">
        <v>16.6666666666667</v>
      </c>
      <c r="AJ179">
        <v>23.3333333333333</v>
      </c>
      <c r="AK179">
        <v>66.6666666666667</v>
      </c>
      <c r="AL179">
        <v>93.3333333333333</v>
      </c>
      <c r="AM179">
        <v>66.6666666666667</v>
      </c>
      <c r="AN179">
        <v>100</v>
      </c>
      <c r="AO179">
        <v>86.6666666666667</v>
      </c>
      <c r="AP179">
        <v>93.3333333333333</v>
      </c>
    </row>
    <row r="180" spans="2:42" x14ac:dyDescent="0.45">
      <c r="B180">
        <v>26.6666666666667</v>
      </c>
      <c r="C180">
        <v>53.3333333333333</v>
      </c>
      <c r="D180">
        <v>56.6666666666667</v>
      </c>
      <c r="E180">
        <v>93.3333333333333</v>
      </c>
      <c r="F180">
        <v>80</v>
      </c>
      <c r="G180">
        <v>100</v>
      </c>
      <c r="H180">
        <v>100</v>
      </c>
      <c r="I180">
        <v>100</v>
      </c>
      <c r="M180">
        <v>43.3333333333333</v>
      </c>
      <c r="N180">
        <v>36.6666666666667</v>
      </c>
      <c r="O180">
        <v>60</v>
      </c>
      <c r="P180">
        <v>93.3333333333333</v>
      </c>
      <c r="Q180">
        <v>100</v>
      </c>
      <c r="R180">
        <v>86.6666666666667</v>
      </c>
      <c r="S180">
        <v>93.3333333333333</v>
      </c>
      <c r="T180">
        <v>100</v>
      </c>
      <c r="X180">
        <v>16.6666666666667</v>
      </c>
      <c r="Y180">
        <v>100</v>
      </c>
      <c r="Z180">
        <v>73.3333333333333</v>
      </c>
      <c r="AA180">
        <v>73.3333333333333</v>
      </c>
      <c r="AB180">
        <v>93.3333333333333</v>
      </c>
      <c r="AC180">
        <v>80</v>
      </c>
      <c r="AD180">
        <v>100</v>
      </c>
      <c r="AE180">
        <v>100</v>
      </c>
      <c r="AI180">
        <v>10</v>
      </c>
      <c r="AJ180">
        <v>66.6666666666667</v>
      </c>
      <c r="AK180">
        <v>50</v>
      </c>
      <c r="AL180">
        <v>73.3333333333333</v>
      </c>
      <c r="AM180">
        <v>70</v>
      </c>
      <c r="AN180">
        <v>100</v>
      </c>
      <c r="AO180">
        <v>86.6666666666667</v>
      </c>
      <c r="AP180">
        <v>93.3333333333333</v>
      </c>
    </row>
    <row r="199" spans="1:42" x14ac:dyDescent="0.45">
      <c r="A199" t="s">
        <v>49</v>
      </c>
      <c r="B199" t="s">
        <v>54</v>
      </c>
      <c r="L199" t="s">
        <v>49</v>
      </c>
      <c r="M199" t="s">
        <v>54</v>
      </c>
      <c r="W199" t="s">
        <v>49</v>
      </c>
      <c r="X199" t="s">
        <v>54</v>
      </c>
      <c r="AH199" t="s">
        <v>49</v>
      </c>
      <c r="AI199" t="s">
        <v>54</v>
      </c>
    </row>
    <row r="200" spans="1:42" x14ac:dyDescent="0.45">
      <c r="A200" t="s">
        <v>47</v>
      </c>
      <c r="B200" t="s">
        <v>48</v>
      </c>
      <c r="L200" t="s">
        <v>47</v>
      </c>
      <c r="M200" t="s">
        <v>51</v>
      </c>
      <c r="W200" t="s">
        <v>47</v>
      </c>
      <c r="X200" t="s">
        <v>52</v>
      </c>
      <c r="AH200" t="s">
        <v>47</v>
      </c>
      <c r="AI200" t="s">
        <v>53</v>
      </c>
    </row>
    <row r="201" spans="1:42" s="1" customFormat="1" x14ac:dyDescent="0.45">
      <c r="A201" s="1" t="s">
        <v>50</v>
      </c>
      <c r="B201" s="1">
        <v>1</v>
      </c>
      <c r="C201" s="1">
        <v>3</v>
      </c>
      <c r="D201" s="1">
        <v>5</v>
      </c>
      <c r="E201" s="1">
        <v>7</v>
      </c>
      <c r="F201" s="1">
        <v>9</v>
      </c>
      <c r="G201" s="1">
        <v>11</v>
      </c>
      <c r="H201" s="1">
        <v>13</v>
      </c>
      <c r="I201" s="1">
        <v>15</v>
      </c>
      <c r="L201" s="1" t="s">
        <v>50</v>
      </c>
      <c r="M201" s="1">
        <v>1</v>
      </c>
      <c r="N201" s="1">
        <v>3</v>
      </c>
      <c r="O201" s="1">
        <v>5</v>
      </c>
      <c r="P201" s="1">
        <v>7</v>
      </c>
      <c r="Q201" s="1">
        <v>9</v>
      </c>
      <c r="R201" s="1">
        <v>11</v>
      </c>
      <c r="S201" s="1">
        <v>13</v>
      </c>
      <c r="T201" s="1">
        <v>15</v>
      </c>
      <c r="W201" s="1" t="s">
        <v>50</v>
      </c>
      <c r="X201" s="1">
        <v>1</v>
      </c>
      <c r="Y201" s="1">
        <v>3</v>
      </c>
      <c r="Z201" s="1">
        <v>5</v>
      </c>
      <c r="AA201" s="1">
        <v>7</v>
      </c>
      <c r="AB201" s="1">
        <v>9</v>
      </c>
      <c r="AC201" s="1">
        <v>11</v>
      </c>
      <c r="AD201" s="1">
        <v>13</v>
      </c>
      <c r="AE201" s="1">
        <v>15</v>
      </c>
      <c r="AH201" s="1" t="s">
        <v>50</v>
      </c>
      <c r="AI201" s="1">
        <v>1</v>
      </c>
      <c r="AJ201" s="1">
        <v>3</v>
      </c>
      <c r="AK201" s="1">
        <v>5</v>
      </c>
      <c r="AL201" s="1">
        <v>7</v>
      </c>
      <c r="AM201" s="1">
        <v>9</v>
      </c>
      <c r="AN201" s="1">
        <v>11</v>
      </c>
      <c r="AO201" s="1">
        <v>13</v>
      </c>
      <c r="AP201" s="1">
        <v>15</v>
      </c>
    </row>
    <row r="202" spans="1:42" x14ac:dyDescent="0.45">
      <c r="B202">
        <f>J3</f>
        <v>40.262096774193601</v>
      </c>
      <c r="C202">
        <f>J19</f>
        <v>77.701612903225794</v>
      </c>
      <c r="D202">
        <f>J33</f>
        <v>99.334677419354804</v>
      </c>
      <c r="E202">
        <f>J50</f>
        <v>94.193548387096797</v>
      </c>
      <c r="F202">
        <f>J64</f>
        <v>56.693548387096797</v>
      </c>
      <c r="G202">
        <f>J78</f>
        <v>100</v>
      </c>
      <c r="H202">
        <f>J91</f>
        <v>58.629032258064498</v>
      </c>
      <c r="I202">
        <f>J104</f>
        <v>99.354838709677395</v>
      </c>
      <c r="M202">
        <f>U3</f>
        <v>36.350806451612897</v>
      </c>
      <c r="N202">
        <f>U19</f>
        <v>88.245967741935502</v>
      </c>
      <c r="O202">
        <f>U33</f>
        <v>100</v>
      </c>
      <c r="P202">
        <f>U50</f>
        <v>99.838709677419402</v>
      </c>
      <c r="Q202">
        <f>U64</f>
        <v>100</v>
      </c>
      <c r="R202">
        <f>U78</f>
        <v>99.919354838709694</v>
      </c>
      <c r="S202">
        <f>U91</f>
        <v>100</v>
      </c>
      <c r="T202">
        <f>U104</f>
        <v>99.919354838709694</v>
      </c>
      <c r="X202">
        <f>AF3</f>
        <v>83.205645161290306</v>
      </c>
      <c r="Y202">
        <f>AF19</f>
        <v>79.153225806451601</v>
      </c>
      <c r="Z202">
        <f>AF33</f>
        <v>94.677419354838705</v>
      </c>
      <c r="AA202">
        <f>AF50</f>
        <v>99.274193548387103</v>
      </c>
      <c r="AB202">
        <f>AF64</f>
        <v>99.758064516128997</v>
      </c>
      <c r="AC202">
        <f>AF78</f>
        <v>99.919354838709694</v>
      </c>
      <c r="AD202">
        <f>AF91</f>
        <v>100</v>
      </c>
      <c r="AE202">
        <f>AF104</f>
        <v>99.919354838709694</v>
      </c>
      <c r="AI202">
        <f>AQ3</f>
        <v>56.814516129032299</v>
      </c>
      <c r="AJ202">
        <f>AQ19</f>
        <v>51.854838709677402</v>
      </c>
      <c r="AK202">
        <f>AQ33</f>
        <v>57.419354838709701</v>
      </c>
      <c r="AL202">
        <f>AQ50</f>
        <v>98.709677419354804</v>
      </c>
      <c r="AM202">
        <f>AQ64</f>
        <v>94.233870967741893</v>
      </c>
      <c r="AN202">
        <f>AQ78</f>
        <v>94.193548387096797</v>
      </c>
      <c r="AO202">
        <f>AQ91</f>
        <v>100</v>
      </c>
      <c r="AP202">
        <f>AQ104</f>
        <v>99.919354838709694</v>
      </c>
    </row>
    <row r="203" spans="1:42" x14ac:dyDescent="0.45">
      <c r="B203">
        <f t="shared" ref="B203:B211" si="360">J4</f>
        <v>87.036290322580598</v>
      </c>
      <c r="C203">
        <f t="shared" ref="C203:C211" si="361">J20</f>
        <v>94.0322580645161</v>
      </c>
      <c r="D203">
        <f t="shared" ref="D203:D211" si="362">J34</f>
        <v>98.548387096774206</v>
      </c>
      <c r="E203">
        <f t="shared" ref="E203:E211" si="363">J51</f>
        <v>99.112903225806406</v>
      </c>
      <c r="F203">
        <f t="shared" ref="F203:F211" si="364">J65</f>
        <v>94.838709677419402</v>
      </c>
      <c r="G203">
        <f t="shared" ref="G203:G211" si="365">J79</f>
        <v>58.709677419354797</v>
      </c>
      <c r="H203">
        <f t="shared" ref="H203:H211" si="366">J92</f>
        <v>100</v>
      </c>
      <c r="I203">
        <f t="shared" ref="I203:I211" si="367">J105</f>
        <v>100</v>
      </c>
      <c r="M203">
        <f t="shared" ref="M203:M211" si="368">U4</f>
        <v>46.673387096774199</v>
      </c>
      <c r="N203">
        <f t="shared" ref="N203:N211" si="369">U20</f>
        <v>91.229838709677395</v>
      </c>
      <c r="O203">
        <f t="shared" ref="O203:O211" si="370">U34</f>
        <v>100</v>
      </c>
      <c r="P203">
        <f t="shared" ref="P203:P211" si="371">U51</f>
        <v>94.838709677419402</v>
      </c>
      <c r="Q203">
        <f t="shared" ref="Q203:Q211" si="372">U65</f>
        <v>100</v>
      </c>
      <c r="R203">
        <f t="shared" ref="R203:R211" si="373">U79</f>
        <v>94.677419354838705</v>
      </c>
      <c r="S203">
        <f t="shared" ref="S203:S211" si="374">U92</f>
        <v>99.354838709677395</v>
      </c>
      <c r="T203">
        <f t="shared" ref="T203:T211" si="375">U105</f>
        <v>100</v>
      </c>
      <c r="X203">
        <f t="shared" ref="X203:X211" si="376">AF4</f>
        <v>85.383064516128997</v>
      </c>
      <c r="Y203">
        <f t="shared" ref="Y203:Y211" si="377">AF20</f>
        <v>55.201612903225801</v>
      </c>
      <c r="Z203">
        <f t="shared" ref="Z203:Z211" si="378">AF34</f>
        <v>89.516129032258107</v>
      </c>
      <c r="AA203">
        <f t="shared" ref="AA203:AA211" si="379">AF51</f>
        <v>99.919354838709694</v>
      </c>
      <c r="AB203">
        <f t="shared" ref="AB203:AB212" si="380">AF65</f>
        <v>94.838709677419402</v>
      </c>
      <c r="AC203">
        <f t="shared" ref="AC203:AC211" si="381">AF79</f>
        <v>99.919354838709694</v>
      </c>
      <c r="AD203">
        <f t="shared" ref="AD203:AD211" si="382">AF92</f>
        <v>99.919354838709694</v>
      </c>
      <c r="AE203">
        <f t="shared" ref="AE203:AE211" si="383">AF105</f>
        <v>99.919354838709694</v>
      </c>
      <c r="AI203">
        <f t="shared" ref="AI203:AI211" si="384">AQ4</f>
        <v>31.915322580645199</v>
      </c>
      <c r="AJ203">
        <f t="shared" ref="AJ203:AJ211" si="385">AQ20</f>
        <v>55.705645161290299</v>
      </c>
      <c r="AK203">
        <f t="shared" ref="AK203:AK211" si="386">AQ34</f>
        <v>94.758064516128997</v>
      </c>
      <c r="AL203">
        <f t="shared" ref="AL203:AL211" si="387">AQ51</f>
        <v>98.548387096774206</v>
      </c>
      <c r="AM203">
        <f t="shared" ref="AM203:AM211" si="388">AQ65</f>
        <v>100</v>
      </c>
      <c r="AN203">
        <f t="shared" ref="AN203:AN211" si="389">AQ79</f>
        <v>100</v>
      </c>
      <c r="AO203">
        <f t="shared" ref="AO203:AO211" si="390">AQ92</f>
        <v>99.919354838709694</v>
      </c>
      <c r="AP203">
        <f t="shared" ref="AP203:AP211" si="391">AQ105</f>
        <v>100</v>
      </c>
    </row>
    <row r="204" spans="1:42" x14ac:dyDescent="0.45">
      <c r="B204">
        <f t="shared" si="360"/>
        <v>30.544354838709701</v>
      </c>
      <c r="C204">
        <f t="shared" si="361"/>
        <v>87.822580645161295</v>
      </c>
      <c r="D204">
        <f t="shared" si="362"/>
        <v>99.193548387096797</v>
      </c>
      <c r="E204">
        <f t="shared" si="363"/>
        <v>99.274193548387103</v>
      </c>
      <c r="F204">
        <f t="shared" si="364"/>
        <v>99.919354838709694</v>
      </c>
      <c r="G204">
        <f t="shared" si="365"/>
        <v>99.919354838709694</v>
      </c>
      <c r="H204">
        <f t="shared" si="366"/>
        <v>100</v>
      </c>
      <c r="I204">
        <f t="shared" si="367"/>
        <v>99.274193548387103</v>
      </c>
      <c r="M204">
        <f t="shared" si="368"/>
        <v>32.177419354838698</v>
      </c>
      <c r="N204">
        <f t="shared" si="369"/>
        <v>88.870967741935502</v>
      </c>
      <c r="O204">
        <f t="shared" si="370"/>
        <v>52.903225806451601</v>
      </c>
      <c r="P204">
        <f t="shared" si="371"/>
        <v>100</v>
      </c>
      <c r="Q204">
        <f t="shared" si="372"/>
        <v>99.919354838709694</v>
      </c>
      <c r="R204">
        <f t="shared" si="373"/>
        <v>99.919354838709694</v>
      </c>
      <c r="S204">
        <f t="shared" si="374"/>
        <v>58.709677419354797</v>
      </c>
      <c r="T204">
        <f t="shared" si="375"/>
        <v>99.919354838709694</v>
      </c>
      <c r="X204">
        <f t="shared" si="376"/>
        <v>36.5927419354839</v>
      </c>
      <c r="Y204">
        <f t="shared" si="377"/>
        <v>52.620967741935502</v>
      </c>
      <c r="Z204">
        <f t="shared" si="378"/>
        <v>98.044354838709694</v>
      </c>
      <c r="AA204">
        <f t="shared" si="379"/>
        <v>99.274193548387103</v>
      </c>
      <c r="AB204">
        <f t="shared" si="380"/>
        <v>99.354838709677395</v>
      </c>
      <c r="AC204">
        <f t="shared" si="381"/>
        <v>94.838709677419402</v>
      </c>
      <c r="AD204">
        <f t="shared" si="382"/>
        <v>99.919354838709694</v>
      </c>
      <c r="AE204">
        <f t="shared" si="383"/>
        <v>99.919354838709694</v>
      </c>
      <c r="AI204">
        <f t="shared" si="384"/>
        <v>44.778225806451601</v>
      </c>
      <c r="AJ204">
        <f t="shared" si="385"/>
        <v>68.75</v>
      </c>
      <c r="AK204">
        <f t="shared" si="386"/>
        <v>51.875</v>
      </c>
      <c r="AL204">
        <f t="shared" si="387"/>
        <v>99.193548387096797</v>
      </c>
      <c r="AM204">
        <f t="shared" si="388"/>
        <v>99.274193548387103</v>
      </c>
      <c r="AN204">
        <f t="shared" si="389"/>
        <v>99.274193548387103</v>
      </c>
      <c r="AO204">
        <f t="shared" si="390"/>
        <v>100</v>
      </c>
      <c r="AP204">
        <f t="shared" si="391"/>
        <v>93.548387096774206</v>
      </c>
    </row>
    <row r="205" spans="1:42" x14ac:dyDescent="0.45">
      <c r="B205">
        <f t="shared" si="360"/>
        <v>47.741935483871003</v>
      </c>
      <c r="C205">
        <f t="shared" si="361"/>
        <v>84.576612903225794</v>
      </c>
      <c r="D205">
        <f t="shared" si="362"/>
        <v>98.689516129032299</v>
      </c>
      <c r="E205">
        <f t="shared" si="363"/>
        <v>99.838709677419402</v>
      </c>
      <c r="F205">
        <f t="shared" si="364"/>
        <v>94.838709677419402</v>
      </c>
      <c r="G205">
        <f t="shared" si="365"/>
        <v>100</v>
      </c>
      <c r="H205">
        <f t="shared" si="366"/>
        <v>100</v>
      </c>
      <c r="I205">
        <f t="shared" si="367"/>
        <v>99.919354838709694</v>
      </c>
      <c r="M205">
        <f t="shared" si="368"/>
        <v>40.705645161290299</v>
      </c>
      <c r="N205">
        <f t="shared" si="369"/>
        <v>49.354838709677402</v>
      </c>
      <c r="O205">
        <f t="shared" si="370"/>
        <v>98.387096774193594</v>
      </c>
      <c r="P205">
        <f t="shared" si="371"/>
        <v>57.419354838709701</v>
      </c>
      <c r="Q205">
        <f t="shared" si="372"/>
        <v>99.919354838709694</v>
      </c>
      <c r="R205">
        <f t="shared" si="373"/>
        <v>100</v>
      </c>
      <c r="S205">
        <f t="shared" si="374"/>
        <v>100</v>
      </c>
      <c r="T205">
        <f t="shared" si="375"/>
        <v>99.919354838709694</v>
      </c>
      <c r="X205">
        <f t="shared" si="376"/>
        <v>35.504032258064498</v>
      </c>
      <c r="Y205">
        <f t="shared" si="377"/>
        <v>55.887096774193601</v>
      </c>
      <c r="Z205">
        <f t="shared" si="378"/>
        <v>99.274193548387103</v>
      </c>
      <c r="AA205">
        <f t="shared" si="379"/>
        <v>100</v>
      </c>
      <c r="AB205">
        <f t="shared" si="380"/>
        <v>99.274193548387103</v>
      </c>
      <c r="AC205">
        <f t="shared" si="381"/>
        <v>100</v>
      </c>
      <c r="AD205">
        <f t="shared" si="382"/>
        <v>94.838709677419402</v>
      </c>
      <c r="AE205">
        <f t="shared" si="383"/>
        <v>99.919354838709694</v>
      </c>
      <c r="AI205">
        <f t="shared" si="384"/>
        <v>86.653225806451601</v>
      </c>
      <c r="AJ205">
        <f t="shared" si="385"/>
        <v>48.951612903225801</v>
      </c>
      <c r="AK205">
        <f t="shared" si="386"/>
        <v>87.177419354838705</v>
      </c>
      <c r="AL205">
        <f t="shared" si="387"/>
        <v>36.048387096774199</v>
      </c>
      <c r="AM205">
        <f t="shared" si="388"/>
        <v>98.709677419354804</v>
      </c>
      <c r="AN205">
        <f t="shared" si="389"/>
        <v>99.354838709677395</v>
      </c>
      <c r="AO205">
        <f t="shared" si="390"/>
        <v>100</v>
      </c>
      <c r="AP205">
        <f t="shared" si="391"/>
        <v>100</v>
      </c>
    </row>
    <row r="206" spans="1:42" x14ac:dyDescent="0.45">
      <c r="B206">
        <f t="shared" si="360"/>
        <v>39.758064516128997</v>
      </c>
      <c r="C206">
        <f t="shared" si="361"/>
        <v>55.383064516128997</v>
      </c>
      <c r="D206">
        <f t="shared" si="362"/>
        <v>94.072580645161295</v>
      </c>
      <c r="E206">
        <f t="shared" si="363"/>
        <v>99.112903225806406</v>
      </c>
      <c r="F206">
        <f t="shared" si="364"/>
        <v>99.677419354838705</v>
      </c>
      <c r="G206">
        <f t="shared" si="365"/>
        <v>89.435483870967701</v>
      </c>
      <c r="H206">
        <f t="shared" si="366"/>
        <v>99.354838709677395</v>
      </c>
      <c r="I206">
        <f t="shared" si="367"/>
        <v>100</v>
      </c>
      <c r="M206">
        <f t="shared" si="368"/>
        <v>58.729838709677402</v>
      </c>
      <c r="N206">
        <f t="shared" si="369"/>
        <v>93.487903225806406</v>
      </c>
      <c r="O206">
        <f t="shared" si="370"/>
        <v>94.677419354838705</v>
      </c>
      <c r="P206">
        <f t="shared" si="371"/>
        <v>99.919354838709694</v>
      </c>
      <c r="Q206">
        <f t="shared" si="372"/>
        <v>94.838709677419402</v>
      </c>
      <c r="R206">
        <f t="shared" si="373"/>
        <v>99.919354838709694</v>
      </c>
      <c r="S206">
        <f t="shared" si="374"/>
        <v>99.919354838709694</v>
      </c>
      <c r="T206">
        <f t="shared" si="375"/>
        <v>99.354838709677395</v>
      </c>
      <c r="X206">
        <f t="shared" si="376"/>
        <v>76.229838709677395</v>
      </c>
      <c r="Y206">
        <f t="shared" si="377"/>
        <v>52.741935483871003</v>
      </c>
      <c r="Z206">
        <f t="shared" si="378"/>
        <v>93.850806451612897</v>
      </c>
      <c r="AA206">
        <f t="shared" si="379"/>
        <v>94.838709677419402</v>
      </c>
      <c r="AB206">
        <f t="shared" si="380"/>
        <v>99.354838709677395</v>
      </c>
      <c r="AC206">
        <f t="shared" si="381"/>
        <v>99.274193548387103</v>
      </c>
      <c r="AD206">
        <f t="shared" si="382"/>
        <v>100</v>
      </c>
      <c r="AE206">
        <f t="shared" si="383"/>
        <v>100</v>
      </c>
      <c r="AI206">
        <f t="shared" si="384"/>
        <v>87.600806451612897</v>
      </c>
      <c r="AJ206">
        <f t="shared" si="385"/>
        <v>93.951612903225794</v>
      </c>
      <c r="AK206">
        <f t="shared" si="386"/>
        <v>47.580645161290299</v>
      </c>
      <c r="AL206">
        <f t="shared" si="387"/>
        <v>68.951612903225794</v>
      </c>
      <c r="AM206">
        <f t="shared" si="388"/>
        <v>94.758064516128997</v>
      </c>
      <c r="AN206">
        <f t="shared" si="389"/>
        <v>100</v>
      </c>
      <c r="AO206">
        <f t="shared" si="390"/>
        <v>99.838709677419402</v>
      </c>
      <c r="AP206">
        <f t="shared" si="391"/>
        <v>100</v>
      </c>
    </row>
    <row r="207" spans="1:42" x14ac:dyDescent="0.45">
      <c r="B207">
        <f t="shared" si="360"/>
        <v>43.245967741935502</v>
      </c>
      <c r="C207">
        <f t="shared" si="361"/>
        <v>94.435483870967701</v>
      </c>
      <c r="D207">
        <f t="shared" si="362"/>
        <v>42.338709677419402</v>
      </c>
      <c r="E207">
        <f t="shared" si="363"/>
        <v>99.838709677419402</v>
      </c>
      <c r="F207">
        <f t="shared" si="364"/>
        <v>99.274193548387103</v>
      </c>
      <c r="G207">
        <f t="shared" si="365"/>
        <v>99.919354838709694</v>
      </c>
      <c r="H207">
        <f t="shared" si="366"/>
        <v>100</v>
      </c>
      <c r="I207">
        <f t="shared" si="367"/>
        <v>100</v>
      </c>
      <c r="M207">
        <f t="shared" si="368"/>
        <v>40.120967741935502</v>
      </c>
      <c r="N207">
        <f t="shared" si="369"/>
        <v>98.427419354838705</v>
      </c>
      <c r="O207">
        <f t="shared" si="370"/>
        <v>94.838709677419402</v>
      </c>
      <c r="P207">
        <f t="shared" si="371"/>
        <v>100</v>
      </c>
      <c r="Q207">
        <f t="shared" si="372"/>
        <v>94.838709677419402</v>
      </c>
      <c r="R207">
        <f t="shared" si="373"/>
        <v>94.193548387096797</v>
      </c>
      <c r="S207">
        <f t="shared" si="374"/>
        <v>99.758064516128997</v>
      </c>
      <c r="T207">
        <f t="shared" si="375"/>
        <v>100</v>
      </c>
      <c r="X207">
        <f t="shared" si="376"/>
        <v>86.310483870967701</v>
      </c>
      <c r="Y207">
        <f t="shared" si="377"/>
        <v>93.4677419354839</v>
      </c>
      <c r="Z207">
        <f t="shared" si="378"/>
        <v>92.741935483871003</v>
      </c>
      <c r="AA207">
        <f t="shared" si="379"/>
        <v>99.274193548387103</v>
      </c>
      <c r="AB207">
        <f t="shared" si="380"/>
        <v>100</v>
      </c>
      <c r="AC207">
        <f t="shared" si="381"/>
        <v>99.274193548387103</v>
      </c>
      <c r="AD207">
        <f t="shared" si="382"/>
        <v>100</v>
      </c>
      <c r="AE207">
        <f t="shared" si="383"/>
        <v>99.354838709677395</v>
      </c>
      <c r="AI207">
        <f t="shared" si="384"/>
        <v>36.814516129032299</v>
      </c>
      <c r="AJ207">
        <f t="shared" si="385"/>
        <v>93.75</v>
      </c>
      <c r="AK207">
        <f t="shared" si="386"/>
        <v>100</v>
      </c>
      <c r="AL207">
        <f t="shared" si="387"/>
        <v>99.173387096774206</v>
      </c>
      <c r="AM207">
        <f t="shared" si="388"/>
        <v>100</v>
      </c>
      <c r="AN207">
        <f t="shared" si="389"/>
        <v>94.112903225806406</v>
      </c>
      <c r="AO207">
        <f t="shared" si="390"/>
        <v>99.919354838709694</v>
      </c>
      <c r="AP207">
        <f t="shared" si="391"/>
        <v>100</v>
      </c>
    </row>
    <row r="208" spans="1:42" x14ac:dyDescent="0.45">
      <c r="B208">
        <f t="shared" si="360"/>
        <v>86.209677419354804</v>
      </c>
      <c r="C208">
        <f t="shared" si="361"/>
        <v>49.274193548387103</v>
      </c>
      <c r="D208">
        <f t="shared" si="362"/>
        <v>58.709677419354797</v>
      </c>
      <c r="E208">
        <f t="shared" si="363"/>
        <v>99.919354838709694</v>
      </c>
      <c r="F208">
        <f t="shared" si="364"/>
        <v>100</v>
      </c>
      <c r="G208">
        <f t="shared" si="365"/>
        <v>99.919354838709694</v>
      </c>
      <c r="H208">
        <f t="shared" si="366"/>
        <v>58.709677419354797</v>
      </c>
      <c r="I208">
        <f t="shared" si="367"/>
        <v>100</v>
      </c>
      <c r="M208">
        <f t="shared" si="368"/>
        <v>39.395161290322598</v>
      </c>
      <c r="N208">
        <f t="shared" si="369"/>
        <v>94.596774193548399</v>
      </c>
      <c r="O208">
        <f t="shared" si="370"/>
        <v>94.112903225806406</v>
      </c>
      <c r="P208">
        <f t="shared" si="371"/>
        <v>94.838709677419402</v>
      </c>
      <c r="Q208">
        <f t="shared" si="372"/>
        <v>94.173387096774206</v>
      </c>
      <c r="R208">
        <f t="shared" si="373"/>
        <v>99.919354838709694</v>
      </c>
      <c r="S208">
        <f t="shared" si="374"/>
        <v>100</v>
      </c>
      <c r="T208">
        <f t="shared" si="375"/>
        <v>100</v>
      </c>
      <c r="X208">
        <f t="shared" si="376"/>
        <v>46.774193548387103</v>
      </c>
      <c r="Y208">
        <f t="shared" si="377"/>
        <v>35.262096774193601</v>
      </c>
      <c r="Z208">
        <f t="shared" si="378"/>
        <v>41.129032258064498</v>
      </c>
      <c r="AA208">
        <f t="shared" si="379"/>
        <v>99.919354838709694</v>
      </c>
      <c r="AB208">
        <f t="shared" si="380"/>
        <v>99.193548387096797</v>
      </c>
      <c r="AC208">
        <f t="shared" si="381"/>
        <v>99.677419354838705</v>
      </c>
      <c r="AD208">
        <f t="shared" si="382"/>
        <v>99.354838709677395</v>
      </c>
      <c r="AE208">
        <f t="shared" si="383"/>
        <v>100</v>
      </c>
      <c r="AI208">
        <f t="shared" si="384"/>
        <v>74.0927419354839</v>
      </c>
      <c r="AJ208">
        <f t="shared" si="385"/>
        <v>54.778225806451601</v>
      </c>
      <c r="AK208">
        <f t="shared" si="386"/>
        <v>93.306451612903203</v>
      </c>
      <c r="AL208">
        <f t="shared" si="387"/>
        <v>100</v>
      </c>
      <c r="AM208">
        <f t="shared" si="388"/>
        <v>89.516129032258107</v>
      </c>
      <c r="AN208">
        <f t="shared" si="389"/>
        <v>99.274193548387103</v>
      </c>
      <c r="AO208">
        <f t="shared" si="390"/>
        <v>100</v>
      </c>
      <c r="AP208">
        <f t="shared" si="391"/>
        <v>99.919354838709694</v>
      </c>
    </row>
    <row r="209" spans="2:42" x14ac:dyDescent="0.45">
      <c r="B209">
        <f t="shared" si="360"/>
        <v>49.979838709677402</v>
      </c>
      <c r="C209">
        <f t="shared" si="361"/>
        <v>92.983870967741893</v>
      </c>
      <c r="D209">
        <f t="shared" si="362"/>
        <v>93.447580645161295</v>
      </c>
      <c r="E209">
        <f t="shared" si="363"/>
        <v>94.112903225806406</v>
      </c>
      <c r="F209">
        <f t="shared" si="364"/>
        <v>56.209677419354797</v>
      </c>
      <c r="G209">
        <f t="shared" si="365"/>
        <v>99.274193548387103</v>
      </c>
      <c r="H209">
        <f t="shared" si="366"/>
        <v>94.838709677419402</v>
      </c>
      <c r="I209">
        <f t="shared" si="367"/>
        <v>99.274193548387103</v>
      </c>
      <c r="M209">
        <f t="shared" si="368"/>
        <v>45.927419354838698</v>
      </c>
      <c r="N209">
        <f t="shared" si="369"/>
        <v>52.076612903225801</v>
      </c>
      <c r="O209">
        <f t="shared" si="370"/>
        <v>94.596774193548399</v>
      </c>
      <c r="P209">
        <f t="shared" si="371"/>
        <v>99.274193548387103</v>
      </c>
      <c r="Q209">
        <f t="shared" si="372"/>
        <v>94.838709677419402</v>
      </c>
      <c r="R209">
        <f t="shared" si="373"/>
        <v>100</v>
      </c>
      <c r="S209">
        <f t="shared" si="374"/>
        <v>100</v>
      </c>
      <c r="T209">
        <f t="shared" si="375"/>
        <v>99.274193548387103</v>
      </c>
      <c r="X209">
        <f t="shared" si="376"/>
        <v>35.927419354838698</v>
      </c>
      <c r="Y209">
        <f t="shared" si="377"/>
        <v>68.951612903225794</v>
      </c>
      <c r="Z209">
        <f t="shared" si="378"/>
        <v>98.004032258064498</v>
      </c>
      <c r="AA209">
        <f t="shared" si="379"/>
        <v>99.758064516128997</v>
      </c>
      <c r="AB209">
        <f t="shared" si="380"/>
        <v>99.274193548387103</v>
      </c>
      <c r="AC209">
        <f t="shared" si="381"/>
        <v>99.354838709677395</v>
      </c>
      <c r="AD209">
        <f t="shared" si="382"/>
        <v>100</v>
      </c>
      <c r="AE209">
        <f t="shared" si="383"/>
        <v>99.919354838709694</v>
      </c>
      <c r="AI209">
        <f t="shared" si="384"/>
        <v>33.810483870967701</v>
      </c>
      <c r="AJ209">
        <f t="shared" si="385"/>
        <v>43.588709677419402</v>
      </c>
      <c r="AK209">
        <f t="shared" si="386"/>
        <v>99.354838709677395</v>
      </c>
      <c r="AL209">
        <f t="shared" si="387"/>
        <v>98.709677419354804</v>
      </c>
      <c r="AM209">
        <f t="shared" si="388"/>
        <v>89.596774193548399</v>
      </c>
      <c r="AN209">
        <f t="shared" si="389"/>
        <v>100</v>
      </c>
      <c r="AO209">
        <f t="shared" si="390"/>
        <v>99.919354838709694</v>
      </c>
      <c r="AP209">
        <f t="shared" si="391"/>
        <v>99.919354838709694</v>
      </c>
    </row>
    <row r="210" spans="2:42" x14ac:dyDescent="0.45">
      <c r="B210">
        <f t="shared" si="360"/>
        <v>37.439516129032299</v>
      </c>
      <c r="C210">
        <f t="shared" si="361"/>
        <v>53.629032258064498</v>
      </c>
      <c r="D210">
        <f t="shared" si="362"/>
        <v>84.173387096774206</v>
      </c>
      <c r="E210">
        <f t="shared" si="363"/>
        <v>41.995967741935502</v>
      </c>
      <c r="F210">
        <f t="shared" si="364"/>
        <v>94.758064516128997</v>
      </c>
      <c r="G210">
        <f t="shared" si="365"/>
        <v>99.919354838709694</v>
      </c>
      <c r="H210">
        <f t="shared" si="366"/>
        <v>99.919354838709694</v>
      </c>
      <c r="I210">
        <f t="shared" si="367"/>
        <v>94.838709677419402</v>
      </c>
      <c r="M210">
        <f t="shared" si="368"/>
        <v>35.362903225806399</v>
      </c>
      <c r="N210">
        <f t="shared" si="369"/>
        <v>93.366935483871003</v>
      </c>
      <c r="O210">
        <f t="shared" si="370"/>
        <v>89.274193548387103</v>
      </c>
      <c r="P210">
        <f t="shared" si="371"/>
        <v>99.838709677419402</v>
      </c>
      <c r="Q210">
        <f t="shared" si="372"/>
        <v>100</v>
      </c>
      <c r="R210">
        <f t="shared" si="373"/>
        <v>99.919354838709694</v>
      </c>
      <c r="S210">
        <f t="shared" si="374"/>
        <v>94.838709677419402</v>
      </c>
      <c r="T210">
        <f t="shared" si="375"/>
        <v>99.919354838709694</v>
      </c>
      <c r="X210">
        <f t="shared" si="376"/>
        <v>90.685483870967701</v>
      </c>
      <c r="Y210">
        <f t="shared" si="377"/>
        <v>92.318548387096797</v>
      </c>
      <c r="Z210">
        <f t="shared" si="378"/>
        <v>68.870967741935502</v>
      </c>
      <c r="AA210">
        <f t="shared" si="379"/>
        <v>93.951612903225794</v>
      </c>
      <c r="AB210">
        <f t="shared" si="380"/>
        <v>99.274193548387103</v>
      </c>
      <c r="AC210">
        <f t="shared" si="381"/>
        <v>100</v>
      </c>
      <c r="AD210">
        <f t="shared" si="382"/>
        <v>94.838709677419402</v>
      </c>
      <c r="AE210">
        <f t="shared" si="383"/>
        <v>99.919354838709694</v>
      </c>
      <c r="AI210">
        <f t="shared" si="384"/>
        <v>66.653225806451601</v>
      </c>
      <c r="AJ210">
        <f t="shared" si="385"/>
        <v>90.9072580645161</v>
      </c>
      <c r="AK210">
        <f t="shared" si="386"/>
        <v>97.741935483871003</v>
      </c>
      <c r="AL210">
        <f t="shared" si="387"/>
        <v>99.919354838709694</v>
      </c>
      <c r="AM210">
        <f t="shared" si="388"/>
        <v>57.822580645161302</v>
      </c>
      <c r="AN210">
        <f t="shared" si="389"/>
        <v>100</v>
      </c>
      <c r="AO210">
        <f t="shared" si="390"/>
        <v>99.274193548387103</v>
      </c>
      <c r="AP210">
        <f t="shared" si="391"/>
        <v>99.919354838709694</v>
      </c>
    </row>
    <row r="211" spans="2:42" x14ac:dyDescent="0.45">
      <c r="B211">
        <f t="shared" si="360"/>
        <v>50.262096774193601</v>
      </c>
      <c r="C211">
        <f t="shared" si="361"/>
        <v>97.096774193548399</v>
      </c>
      <c r="D211">
        <f t="shared" si="362"/>
        <v>93.870967741935502</v>
      </c>
      <c r="E211">
        <f t="shared" si="363"/>
        <v>99.919354838709694</v>
      </c>
      <c r="F211">
        <f t="shared" si="364"/>
        <v>94.193548387096797</v>
      </c>
      <c r="G211">
        <f t="shared" si="365"/>
        <v>100</v>
      </c>
      <c r="H211">
        <f t="shared" si="366"/>
        <v>100</v>
      </c>
      <c r="I211">
        <f t="shared" si="367"/>
        <v>100</v>
      </c>
      <c r="M211">
        <f t="shared" si="368"/>
        <v>79.495967741935502</v>
      </c>
      <c r="N211">
        <f t="shared" si="369"/>
        <v>61.088709677419402</v>
      </c>
      <c r="O211">
        <f t="shared" si="370"/>
        <v>97.983870967741893</v>
      </c>
      <c r="P211">
        <f t="shared" si="371"/>
        <v>99.919354838709694</v>
      </c>
      <c r="Q211">
        <f t="shared" si="372"/>
        <v>100</v>
      </c>
      <c r="R211">
        <f t="shared" si="373"/>
        <v>99.354838709677395</v>
      </c>
      <c r="S211">
        <f t="shared" si="374"/>
        <v>99.354838709677395</v>
      </c>
      <c r="T211">
        <f t="shared" si="375"/>
        <v>100</v>
      </c>
      <c r="X211">
        <f t="shared" si="376"/>
        <v>43.487903225806399</v>
      </c>
      <c r="Y211">
        <f t="shared" si="377"/>
        <v>100</v>
      </c>
      <c r="Z211">
        <f t="shared" si="378"/>
        <v>94.274193548387103</v>
      </c>
      <c r="AA211">
        <f t="shared" si="379"/>
        <v>94.0322580645161</v>
      </c>
      <c r="AB211">
        <f t="shared" si="380"/>
        <v>58.709677419354797</v>
      </c>
      <c r="AC211">
        <f t="shared" si="381"/>
        <v>53.4677419354839</v>
      </c>
      <c r="AD211">
        <f t="shared" si="382"/>
        <v>100</v>
      </c>
      <c r="AE211">
        <f t="shared" si="383"/>
        <v>100</v>
      </c>
      <c r="AI211">
        <f t="shared" si="384"/>
        <v>38.770161290322598</v>
      </c>
      <c r="AJ211">
        <f t="shared" si="385"/>
        <v>96.108870967741893</v>
      </c>
      <c r="AK211">
        <f t="shared" si="386"/>
        <v>55.302419354838698</v>
      </c>
      <c r="AL211">
        <f t="shared" si="387"/>
        <v>94.112903225806406</v>
      </c>
      <c r="AM211">
        <f t="shared" si="388"/>
        <v>52.883064516128997</v>
      </c>
      <c r="AN211">
        <f t="shared" si="389"/>
        <v>100</v>
      </c>
      <c r="AO211">
        <f t="shared" si="390"/>
        <v>94.838709677419402</v>
      </c>
      <c r="AP211">
        <f t="shared" si="391"/>
        <v>99.354838709677395</v>
      </c>
    </row>
  </sheetData>
  <mergeCells count="8">
    <mergeCell ref="X131:Z131"/>
    <mergeCell ref="AA131:AC131"/>
    <mergeCell ref="B131:D131"/>
    <mergeCell ref="E131:G131"/>
    <mergeCell ref="H131:J131"/>
    <mergeCell ref="K131:M131"/>
    <mergeCell ref="R131:T131"/>
    <mergeCell ref="U131:W131"/>
  </mergeCells>
  <phoneticPr fontId="1" type="noConversion"/>
  <conditionalFormatting sqref="B156:I156 B149:E155 G149:I15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2:I167 B169 E169:I169 A168:I16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1:I18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8:I19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3:M14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9:O15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62:O16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1:O18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88:O19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3:AC14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9:T169 M169 L168:T16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69:AE169 X169 W168:AE16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69:AP169 AI169 AH168:AP16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0:I200 B200 A199:I19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00:T200 M200 L199:T1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0:AE200 X200 W199:AE19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0:AP200 AI200 AH199:AP1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1442-8F9A-4B1A-9170-1C3A6D5EB5AE}">
  <dimension ref="A1:E322"/>
  <sheetViews>
    <sheetView topLeftCell="A4" workbookViewId="0">
      <selection activeCell="T13" sqref="T13"/>
    </sheetView>
  </sheetViews>
  <sheetFormatPr defaultRowHeight="14.25" x14ac:dyDescent="0.45"/>
  <sheetData>
    <row r="1" spans="1:5" x14ac:dyDescent="0.45">
      <c r="A1" t="s">
        <v>34</v>
      </c>
      <c r="B1" t="s">
        <v>35</v>
      </c>
    </row>
    <row r="2" spans="1:5" x14ac:dyDescent="0.45">
      <c r="D2" t="s">
        <v>36</v>
      </c>
      <c r="E2" t="s">
        <v>37</v>
      </c>
    </row>
    <row r="3" spans="1:5" x14ac:dyDescent="0.45">
      <c r="A3" cm="1">
        <f t="array" ref="A3:A12">Sheet1!C3:C12</f>
        <v>30</v>
      </c>
      <c r="B3" cm="1">
        <f t="array" ref="B3:B12">Sheet1!I3:I12</f>
        <v>89.213709677419402</v>
      </c>
      <c r="C3" s="1" t="s">
        <v>20</v>
      </c>
      <c r="D3">
        <f>AVERAGE(A3:A322)</f>
        <v>48.072916666666721</v>
      </c>
      <c r="E3">
        <f>AVERAGE(B3:B322)</f>
        <v>60.848853326612904</v>
      </c>
    </row>
    <row r="4" spans="1:5" x14ac:dyDescent="0.45">
      <c r="A4">
        <v>56.6666666666667</v>
      </c>
      <c r="B4">
        <v>53.306451612903203</v>
      </c>
      <c r="C4" s="1" t="s">
        <v>32</v>
      </c>
      <c r="D4">
        <f>_xlfn.VAR.S(A3:A322)</f>
        <v>184.32765151514798</v>
      </c>
      <c r="E4">
        <f>_xlfn.VAR.S(B3:B322)</f>
        <v>370.83730670125192</v>
      </c>
    </row>
    <row r="5" spans="1:5" x14ac:dyDescent="0.45">
      <c r="A5">
        <v>43.3333333333333</v>
      </c>
      <c r="B5">
        <v>93.790322580645196</v>
      </c>
      <c r="C5" s="1" t="s">
        <v>33</v>
      </c>
      <c r="D5">
        <f>_xlfn.STDEV.S(A3:A322)</f>
        <v>13.576731989516032</v>
      </c>
      <c r="E5">
        <f>_xlfn.STDEV.S(B3:B322)</f>
        <v>19.257136513543543</v>
      </c>
    </row>
    <row r="6" spans="1:5" x14ac:dyDescent="0.45">
      <c r="A6">
        <v>50</v>
      </c>
      <c r="B6">
        <v>37.822580645161302</v>
      </c>
      <c r="C6" s="1" t="s">
        <v>38</v>
      </c>
      <c r="D6">
        <f>MAX(A3:A322)</f>
        <v>86.6666666666667</v>
      </c>
      <c r="E6">
        <f>MAX(B3:B322)</f>
        <v>99.758064516128997</v>
      </c>
    </row>
    <row r="7" spans="1:5" x14ac:dyDescent="0.45">
      <c r="A7">
        <v>36.6666666666667</v>
      </c>
      <c r="B7">
        <v>51.794354838709701</v>
      </c>
      <c r="C7" s="1" t="s">
        <v>39</v>
      </c>
      <c r="D7">
        <f>MIN(A3:A322)</f>
        <v>13.3333333333333</v>
      </c>
      <c r="E7">
        <f>MIN(B3:B322)</f>
        <v>34.254032258064498</v>
      </c>
    </row>
    <row r="8" spans="1:5" x14ac:dyDescent="0.45">
      <c r="A8">
        <v>43.3333333333333</v>
      </c>
      <c r="B8">
        <v>91.733870967741893</v>
      </c>
    </row>
    <row r="9" spans="1:5" x14ac:dyDescent="0.45">
      <c r="A9">
        <v>26.6666666666667</v>
      </c>
      <c r="B9">
        <v>50.645161290322598</v>
      </c>
    </row>
    <row r="10" spans="1:5" x14ac:dyDescent="0.45">
      <c r="A10">
        <v>30</v>
      </c>
      <c r="B10">
        <v>42.923387096774199</v>
      </c>
    </row>
    <row r="11" spans="1:5" x14ac:dyDescent="0.45">
      <c r="A11">
        <v>56.6666666666667</v>
      </c>
      <c r="B11">
        <v>56.5322580645161</v>
      </c>
    </row>
    <row r="12" spans="1:5" x14ac:dyDescent="0.45">
      <c r="A12">
        <v>33.3333333333333</v>
      </c>
      <c r="B12">
        <v>77.943548387096797</v>
      </c>
    </row>
    <row r="13" spans="1:5" x14ac:dyDescent="0.45">
      <c r="A13" cm="1">
        <f t="array" ref="A13:A22">Sheet1!N3:N12</f>
        <v>40</v>
      </c>
      <c r="B13" cm="1">
        <f t="array" ref="B13:B22">Sheet1!T3:T12</f>
        <v>56.169354838709701</v>
      </c>
    </row>
    <row r="14" spans="1:5" x14ac:dyDescent="0.45">
      <c r="A14">
        <v>60</v>
      </c>
      <c r="B14">
        <v>94.254032258064498</v>
      </c>
    </row>
    <row r="15" spans="1:5" x14ac:dyDescent="0.45">
      <c r="A15">
        <v>60</v>
      </c>
      <c r="B15">
        <v>95.645161290322605</v>
      </c>
    </row>
    <row r="16" spans="1:5" x14ac:dyDescent="0.45">
      <c r="A16">
        <v>70</v>
      </c>
      <c r="B16">
        <v>93.951612903225794</v>
      </c>
    </row>
    <row r="17" spans="1:2" x14ac:dyDescent="0.45">
      <c r="A17">
        <v>40</v>
      </c>
      <c r="B17">
        <v>70.2822580645161</v>
      </c>
    </row>
    <row r="18" spans="1:2" x14ac:dyDescent="0.45">
      <c r="A18">
        <v>43.3333333333333</v>
      </c>
      <c r="B18">
        <v>41.048387096774199</v>
      </c>
    </row>
    <row r="19" spans="1:2" x14ac:dyDescent="0.45">
      <c r="A19">
        <v>46.6666666666667</v>
      </c>
      <c r="B19">
        <v>42.338709677419402</v>
      </c>
    </row>
    <row r="20" spans="1:2" x14ac:dyDescent="0.45">
      <c r="A20">
        <v>40</v>
      </c>
      <c r="B20">
        <v>53.850806451612897</v>
      </c>
    </row>
    <row r="21" spans="1:2" x14ac:dyDescent="0.45">
      <c r="A21">
        <v>60</v>
      </c>
      <c r="B21">
        <v>42.5</v>
      </c>
    </row>
    <row r="22" spans="1:2" x14ac:dyDescent="0.45">
      <c r="A22">
        <v>60</v>
      </c>
      <c r="B22">
        <v>46.129032258064498</v>
      </c>
    </row>
    <row r="23" spans="1:2" x14ac:dyDescent="0.45">
      <c r="A23" cm="1">
        <f t="array" ref="A23:A32">Sheet1!Y3:Y12</f>
        <v>43.3333333333333</v>
      </c>
      <c r="B23" cm="1">
        <f t="array" ref="B23:B32">Sheet1!AE3:AE12</f>
        <v>51.350806451612897</v>
      </c>
    </row>
    <row r="24" spans="1:2" x14ac:dyDescent="0.45">
      <c r="A24">
        <v>60</v>
      </c>
      <c r="B24">
        <v>88.145161290322605</v>
      </c>
    </row>
    <row r="25" spans="1:2" x14ac:dyDescent="0.45">
      <c r="A25">
        <v>60</v>
      </c>
      <c r="B25">
        <v>48.709677419354797</v>
      </c>
    </row>
    <row r="26" spans="1:2" x14ac:dyDescent="0.45">
      <c r="A26">
        <v>76.6666666666667</v>
      </c>
      <c r="B26">
        <v>98.689516129032299</v>
      </c>
    </row>
    <row r="27" spans="1:2" x14ac:dyDescent="0.45">
      <c r="A27">
        <v>46.6666666666667</v>
      </c>
      <c r="B27">
        <v>41.1088709677419</v>
      </c>
    </row>
    <row r="28" spans="1:2" x14ac:dyDescent="0.45">
      <c r="A28">
        <v>40</v>
      </c>
      <c r="B28">
        <v>92.298387096774206</v>
      </c>
    </row>
    <row r="29" spans="1:2" x14ac:dyDescent="0.45">
      <c r="A29">
        <v>40</v>
      </c>
      <c r="B29">
        <v>36.068548387096797</v>
      </c>
    </row>
    <row r="30" spans="1:2" x14ac:dyDescent="0.45">
      <c r="A30">
        <v>53.3333333333333</v>
      </c>
      <c r="B30">
        <v>56.310483870967701</v>
      </c>
    </row>
    <row r="31" spans="1:2" x14ac:dyDescent="0.45">
      <c r="A31">
        <v>40</v>
      </c>
      <c r="B31">
        <v>48.145161290322598</v>
      </c>
    </row>
    <row r="32" spans="1:2" x14ac:dyDescent="0.45">
      <c r="A32">
        <v>53.3333333333333</v>
      </c>
      <c r="B32">
        <v>46.774193548387103</v>
      </c>
    </row>
    <row r="33" spans="1:2" x14ac:dyDescent="0.45">
      <c r="A33" cm="1">
        <f t="array" ref="A33:A42">Sheet1!AJ3:AJ12</f>
        <v>40</v>
      </c>
      <c r="B33" cm="1">
        <f t="array" ref="B33:B42">Sheet1!AP3:AP12</f>
        <v>44.314516129032299</v>
      </c>
    </row>
    <row r="34" spans="1:2" x14ac:dyDescent="0.45">
      <c r="A34">
        <v>20</v>
      </c>
      <c r="B34">
        <v>86.008064516128997</v>
      </c>
    </row>
    <row r="35" spans="1:2" x14ac:dyDescent="0.45">
      <c r="A35">
        <v>53.3333333333333</v>
      </c>
      <c r="B35">
        <v>53.951612903225801</v>
      </c>
    </row>
    <row r="36" spans="1:2" x14ac:dyDescent="0.45">
      <c r="A36">
        <v>56.6666666666667</v>
      </c>
      <c r="B36">
        <v>95.100806451612897</v>
      </c>
    </row>
    <row r="37" spans="1:2" x14ac:dyDescent="0.45">
      <c r="A37">
        <v>53.3333333333333</v>
      </c>
      <c r="B37">
        <v>45.564516129032299</v>
      </c>
    </row>
    <row r="38" spans="1:2" x14ac:dyDescent="0.45">
      <c r="A38">
        <v>46.6666666666667</v>
      </c>
      <c r="B38">
        <v>55.725806451612897</v>
      </c>
    </row>
    <row r="39" spans="1:2" x14ac:dyDescent="0.45">
      <c r="A39">
        <v>53.3333333333333</v>
      </c>
      <c r="B39">
        <v>93.366935483871003</v>
      </c>
    </row>
    <row r="40" spans="1:2" x14ac:dyDescent="0.45">
      <c r="A40">
        <v>33.3333333333333</v>
      </c>
      <c r="B40">
        <v>40.3427419354839</v>
      </c>
    </row>
    <row r="41" spans="1:2" x14ac:dyDescent="0.45">
      <c r="A41">
        <v>53.3333333333333</v>
      </c>
      <c r="B41">
        <v>54.274193548387103</v>
      </c>
    </row>
    <row r="42" spans="1:2" x14ac:dyDescent="0.45">
      <c r="A42">
        <v>36.6666666666667</v>
      </c>
      <c r="B42">
        <v>43.528225806451601</v>
      </c>
    </row>
    <row r="43" spans="1:2" x14ac:dyDescent="0.45">
      <c r="A43" cm="1">
        <f t="array" ref="A43:A52">Sheet1!C19:C28</f>
        <v>56.6666666666667</v>
      </c>
      <c r="B43" cm="1">
        <f t="array" ref="B43:B52">Sheet1!I19:I28</f>
        <v>43.951612903225801</v>
      </c>
    </row>
    <row r="44" spans="1:2" x14ac:dyDescent="0.45">
      <c r="A44">
        <v>40</v>
      </c>
      <c r="B44">
        <v>87.540322580645196</v>
      </c>
    </row>
    <row r="45" spans="1:2" x14ac:dyDescent="0.45">
      <c r="A45">
        <v>46.6666666666667</v>
      </c>
      <c r="B45">
        <v>86.955645161290306</v>
      </c>
    </row>
    <row r="46" spans="1:2" x14ac:dyDescent="0.45">
      <c r="A46">
        <v>70</v>
      </c>
      <c r="B46">
        <v>57.963709677419402</v>
      </c>
    </row>
    <row r="47" spans="1:2" x14ac:dyDescent="0.45">
      <c r="A47">
        <v>30</v>
      </c>
      <c r="B47">
        <v>49.536290322580598</v>
      </c>
    </row>
    <row r="48" spans="1:2" x14ac:dyDescent="0.45">
      <c r="A48">
        <v>46.6666666666667</v>
      </c>
      <c r="B48">
        <v>52.177419354838698</v>
      </c>
    </row>
    <row r="49" spans="1:2" x14ac:dyDescent="0.45">
      <c r="A49">
        <v>43.3333333333333</v>
      </c>
      <c r="B49">
        <v>91.713709677419402</v>
      </c>
    </row>
    <row r="50" spans="1:2" x14ac:dyDescent="0.45">
      <c r="A50">
        <v>36.6666666666667</v>
      </c>
      <c r="B50">
        <v>43.689516129032299</v>
      </c>
    </row>
    <row r="51" spans="1:2" x14ac:dyDescent="0.45">
      <c r="A51">
        <v>56.6666666666667</v>
      </c>
      <c r="B51">
        <v>94.012096774193594</v>
      </c>
    </row>
    <row r="52" spans="1:2" x14ac:dyDescent="0.45">
      <c r="A52">
        <v>63.3333333333333</v>
      </c>
      <c r="B52">
        <v>94.0927419354839</v>
      </c>
    </row>
    <row r="53" spans="1:2" x14ac:dyDescent="0.45">
      <c r="A53" cm="1">
        <f t="array" ref="A53:A62">Sheet1!N19:N28</f>
        <v>56.6666666666667</v>
      </c>
      <c r="B53" cm="1">
        <f t="array" ref="B53:B62">Sheet1!T19:T28</f>
        <v>72.177419354838705</v>
      </c>
    </row>
    <row r="54" spans="1:2" x14ac:dyDescent="0.45">
      <c r="A54">
        <v>60</v>
      </c>
      <c r="B54">
        <v>98.306451612903203</v>
      </c>
    </row>
    <row r="55" spans="1:2" x14ac:dyDescent="0.45">
      <c r="A55">
        <v>46.6666666666667</v>
      </c>
      <c r="B55">
        <v>42.177419354838698</v>
      </c>
    </row>
    <row r="56" spans="1:2" x14ac:dyDescent="0.45">
      <c r="A56">
        <v>33.3333333333333</v>
      </c>
      <c r="B56">
        <v>97.338709677419402</v>
      </c>
    </row>
    <row r="57" spans="1:2" x14ac:dyDescent="0.45">
      <c r="A57">
        <v>86.6666666666667</v>
      </c>
      <c r="B57">
        <v>94.193548387096797</v>
      </c>
    </row>
    <row r="58" spans="1:2" x14ac:dyDescent="0.45">
      <c r="A58">
        <v>50</v>
      </c>
      <c r="B58">
        <v>98.205645161290306</v>
      </c>
    </row>
    <row r="59" spans="1:2" x14ac:dyDescent="0.45">
      <c r="A59">
        <v>56.6666666666667</v>
      </c>
      <c r="B59">
        <v>93.366935483871003</v>
      </c>
    </row>
    <row r="60" spans="1:2" x14ac:dyDescent="0.45">
      <c r="A60">
        <v>53.3333333333333</v>
      </c>
      <c r="B60">
        <v>70.060483870967701</v>
      </c>
    </row>
    <row r="61" spans="1:2" x14ac:dyDescent="0.45">
      <c r="A61">
        <v>43.3333333333333</v>
      </c>
      <c r="B61">
        <v>88.125</v>
      </c>
    </row>
    <row r="62" spans="1:2" x14ac:dyDescent="0.45">
      <c r="A62">
        <v>43.3333333333333</v>
      </c>
      <c r="B62">
        <v>51.290322580645203</v>
      </c>
    </row>
    <row r="63" spans="1:2" x14ac:dyDescent="0.45">
      <c r="A63" cm="1">
        <f t="array" ref="A63:A72">Sheet1!Y19:Y28</f>
        <v>63.3333333333333</v>
      </c>
      <c r="B63" cm="1">
        <f t="array" ref="B63:B72">Sheet1!AE19:AE28</f>
        <v>94.435483870967701</v>
      </c>
    </row>
    <row r="64" spans="1:2" x14ac:dyDescent="0.45">
      <c r="A64">
        <v>56.6666666666667</v>
      </c>
      <c r="B64">
        <v>55.866935483871003</v>
      </c>
    </row>
    <row r="65" spans="1:2" x14ac:dyDescent="0.45">
      <c r="A65">
        <v>66.6666666666667</v>
      </c>
      <c r="B65">
        <v>69.435483870967701</v>
      </c>
    </row>
    <row r="66" spans="1:2" x14ac:dyDescent="0.45">
      <c r="A66">
        <v>56.6666666666667</v>
      </c>
      <c r="B66">
        <v>41.270161290322598</v>
      </c>
    </row>
    <row r="67" spans="1:2" x14ac:dyDescent="0.45">
      <c r="A67">
        <v>70</v>
      </c>
      <c r="B67">
        <v>57.258064516128997</v>
      </c>
    </row>
    <row r="68" spans="1:2" x14ac:dyDescent="0.45">
      <c r="A68">
        <v>53.3333333333333</v>
      </c>
      <c r="B68">
        <v>43.286290322580598</v>
      </c>
    </row>
    <row r="69" spans="1:2" x14ac:dyDescent="0.45">
      <c r="A69">
        <v>40</v>
      </c>
      <c r="B69">
        <v>90.887096774193594</v>
      </c>
    </row>
    <row r="70" spans="1:2" x14ac:dyDescent="0.45">
      <c r="A70">
        <v>70</v>
      </c>
      <c r="B70">
        <v>98.689516129032299</v>
      </c>
    </row>
    <row r="71" spans="1:2" x14ac:dyDescent="0.45">
      <c r="A71">
        <v>43.3333333333333</v>
      </c>
      <c r="B71">
        <v>92.237903225806406</v>
      </c>
    </row>
    <row r="72" spans="1:2" x14ac:dyDescent="0.45">
      <c r="A72">
        <v>56.6666666666667</v>
      </c>
      <c r="B72">
        <v>46.612903225806399</v>
      </c>
    </row>
    <row r="73" spans="1:2" x14ac:dyDescent="0.45">
      <c r="A73" cm="1">
        <f t="array" ref="A73:A82">Sheet1!AJ19:AJ28</f>
        <v>20</v>
      </c>
      <c r="B73" cm="1">
        <f t="array" ref="B73:B82">Sheet1!AP19:AP28</f>
        <v>41.129032258064498</v>
      </c>
    </row>
    <row r="74" spans="1:2" x14ac:dyDescent="0.45">
      <c r="A74">
        <v>33.3333333333333</v>
      </c>
      <c r="B74">
        <v>86.895161290322605</v>
      </c>
    </row>
    <row r="75" spans="1:2" x14ac:dyDescent="0.45">
      <c r="A75">
        <v>50</v>
      </c>
      <c r="B75">
        <v>47.338709677419402</v>
      </c>
    </row>
    <row r="76" spans="1:2" x14ac:dyDescent="0.45">
      <c r="A76">
        <v>63.3333333333333</v>
      </c>
      <c r="B76">
        <v>48.6088709677419</v>
      </c>
    </row>
    <row r="77" spans="1:2" x14ac:dyDescent="0.45">
      <c r="A77">
        <v>43.3333333333333</v>
      </c>
      <c r="B77">
        <v>46.008064516128997</v>
      </c>
    </row>
    <row r="78" spans="1:2" x14ac:dyDescent="0.45">
      <c r="A78">
        <v>40</v>
      </c>
      <c r="B78">
        <v>57.116935483871003</v>
      </c>
    </row>
    <row r="79" spans="1:2" x14ac:dyDescent="0.45">
      <c r="A79">
        <v>23.3333333333333</v>
      </c>
      <c r="B79">
        <v>85.725806451612897</v>
      </c>
    </row>
    <row r="80" spans="1:2" x14ac:dyDescent="0.45">
      <c r="A80">
        <v>56.6666666666667</v>
      </c>
      <c r="B80">
        <v>56.653225806451601</v>
      </c>
    </row>
    <row r="81" spans="1:2" x14ac:dyDescent="0.45">
      <c r="A81">
        <v>60</v>
      </c>
      <c r="B81">
        <v>46.370967741935502</v>
      </c>
    </row>
    <row r="82" spans="1:2" x14ac:dyDescent="0.45">
      <c r="A82">
        <v>36.6666666666667</v>
      </c>
      <c r="B82">
        <v>48.326612903225801</v>
      </c>
    </row>
    <row r="83" spans="1:2" x14ac:dyDescent="0.45">
      <c r="A83" cm="1">
        <f t="array" ref="A83:A92">Sheet1!C33:C42</f>
        <v>56.6666666666667</v>
      </c>
      <c r="B83" cm="1">
        <f t="array" ref="B83:B92">Sheet1!I33:I42</f>
        <v>66.129032258064498</v>
      </c>
    </row>
    <row r="84" spans="1:2" x14ac:dyDescent="0.45">
      <c r="A84">
        <v>53.3333333333333</v>
      </c>
      <c r="B84">
        <v>48.568548387096797</v>
      </c>
    </row>
    <row r="85" spans="1:2" x14ac:dyDescent="0.45">
      <c r="A85">
        <v>43.3333333333333</v>
      </c>
      <c r="B85">
        <v>51.572580645161302</v>
      </c>
    </row>
    <row r="86" spans="1:2" x14ac:dyDescent="0.45">
      <c r="A86">
        <v>63.3333333333333</v>
      </c>
      <c r="B86">
        <v>41.612903225806399</v>
      </c>
    </row>
    <row r="87" spans="1:2" x14ac:dyDescent="0.45">
      <c r="A87">
        <v>63.3333333333333</v>
      </c>
      <c r="B87">
        <v>47.0161290322581</v>
      </c>
    </row>
    <row r="88" spans="1:2" x14ac:dyDescent="0.45">
      <c r="A88">
        <v>56.6666666666667</v>
      </c>
      <c r="B88">
        <v>72.5</v>
      </c>
    </row>
    <row r="89" spans="1:2" x14ac:dyDescent="0.45">
      <c r="A89">
        <v>53.3333333333333</v>
      </c>
      <c r="B89">
        <v>68.709677419354804</v>
      </c>
    </row>
    <row r="90" spans="1:2" x14ac:dyDescent="0.45">
      <c r="A90">
        <v>40</v>
      </c>
      <c r="B90">
        <v>35.463709677419402</v>
      </c>
    </row>
    <row r="91" spans="1:2" x14ac:dyDescent="0.45">
      <c r="A91">
        <v>70</v>
      </c>
      <c r="B91">
        <v>89.435483870967701</v>
      </c>
    </row>
    <row r="92" spans="1:2" x14ac:dyDescent="0.45">
      <c r="A92">
        <v>56.6666666666667</v>
      </c>
      <c r="B92">
        <v>53.225806451612897</v>
      </c>
    </row>
    <row r="93" spans="1:2" x14ac:dyDescent="0.45">
      <c r="A93" cm="1">
        <f t="array" ref="A93:A102">Sheet1!N33:N42</f>
        <v>56.6666666666667</v>
      </c>
      <c r="B93" cm="1">
        <f t="array" ref="B93:B102">Sheet1!T33:T42</f>
        <v>57.963709677419402</v>
      </c>
    </row>
    <row r="94" spans="1:2" x14ac:dyDescent="0.45">
      <c r="A94">
        <v>56.6666666666667</v>
      </c>
      <c r="B94">
        <v>56.5322580645161</v>
      </c>
    </row>
    <row r="95" spans="1:2" x14ac:dyDescent="0.45">
      <c r="A95">
        <v>33.3333333333333</v>
      </c>
      <c r="B95">
        <v>50.685483870967701</v>
      </c>
    </row>
    <row r="96" spans="1:2" x14ac:dyDescent="0.45">
      <c r="A96">
        <v>26.6666666666667</v>
      </c>
      <c r="B96">
        <v>38.951612903225801</v>
      </c>
    </row>
    <row r="97" spans="1:2" x14ac:dyDescent="0.45">
      <c r="A97">
        <v>40</v>
      </c>
      <c r="B97">
        <v>41.5927419354839</v>
      </c>
    </row>
    <row r="98" spans="1:2" x14ac:dyDescent="0.45">
      <c r="A98">
        <v>60</v>
      </c>
      <c r="B98">
        <v>93.225806451612897</v>
      </c>
    </row>
    <row r="99" spans="1:2" x14ac:dyDescent="0.45">
      <c r="A99">
        <v>40</v>
      </c>
      <c r="B99">
        <v>46.370967741935502</v>
      </c>
    </row>
    <row r="100" spans="1:2" x14ac:dyDescent="0.45">
      <c r="A100">
        <v>40</v>
      </c>
      <c r="B100">
        <v>51.713709677419402</v>
      </c>
    </row>
    <row r="101" spans="1:2" x14ac:dyDescent="0.45">
      <c r="A101">
        <v>36.6666666666667</v>
      </c>
      <c r="B101">
        <v>38.125</v>
      </c>
    </row>
    <row r="102" spans="1:2" x14ac:dyDescent="0.45">
      <c r="A102">
        <v>60</v>
      </c>
      <c r="B102">
        <v>93.366935483871003</v>
      </c>
    </row>
    <row r="103" spans="1:2" x14ac:dyDescent="0.45">
      <c r="A103" cm="1">
        <f t="array" ref="A103:A112">Sheet1!Y33:Y42</f>
        <v>30</v>
      </c>
      <c r="B103" cm="1">
        <f t="array" ref="B103:B112">Sheet1!AE33:AE42</f>
        <v>68.326612903225794</v>
      </c>
    </row>
    <row r="104" spans="1:2" x14ac:dyDescent="0.45">
      <c r="A104">
        <v>66.6666666666667</v>
      </c>
      <c r="B104">
        <v>42.580645161290299</v>
      </c>
    </row>
    <row r="105" spans="1:2" x14ac:dyDescent="0.45">
      <c r="A105">
        <v>36.6666666666667</v>
      </c>
      <c r="B105">
        <v>67.963709677419402</v>
      </c>
    </row>
    <row r="106" spans="1:2" x14ac:dyDescent="0.45">
      <c r="A106">
        <v>33.3333333333333</v>
      </c>
      <c r="B106">
        <v>49.314516129032299</v>
      </c>
    </row>
    <row r="107" spans="1:2" x14ac:dyDescent="0.45">
      <c r="A107">
        <v>43.3333333333333</v>
      </c>
      <c r="B107">
        <v>54.616935483871003</v>
      </c>
    </row>
    <row r="108" spans="1:2" x14ac:dyDescent="0.45">
      <c r="A108">
        <v>40</v>
      </c>
      <c r="B108">
        <v>48.205645161290299</v>
      </c>
    </row>
    <row r="109" spans="1:2" x14ac:dyDescent="0.45">
      <c r="A109">
        <v>53.3333333333333</v>
      </c>
      <c r="B109">
        <v>36.693548387096797</v>
      </c>
    </row>
    <row r="110" spans="1:2" x14ac:dyDescent="0.45">
      <c r="A110">
        <v>46.6666666666667</v>
      </c>
      <c r="B110">
        <v>53.004032258064498</v>
      </c>
    </row>
    <row r="111" spans="1:2" x14ac:dyDescent="0.45">
      <c r="A111">
        <v>36.6666666666667</v>
      </c>
      <c r="B111">
        <v>45.524193548387103</v>
      </c>
    </row>
    <row r="112" spans="1:2" x14ac:dyDescent="0.45">
      <c r="A112">
        <v>46.6666666666667</v>
      </c>
      <c r="B112">
        <v>44.596774193548399</v>
      </c>
    </row>
    <row r="113" spans="1:2" x14ac:dyDescent="0.45">
      <c r="A113" cm="1">
        <f t="array" ref="A113:A122">Sheet1!AJ33:AJ42</f>
        <v>36.6666666666667</v>
      </c>
      <c r="B113" cm="1">
        <f t="array" ref="B113:B122">Sheet1!AP33:AP42</f>
        <v>51.995967741935502</v>
      </c>
    </row>
    <row r="114" spans="1:2" x14ac:dyDescent="0.45">
      <c r="A114">
        <v>43.3333333333333</v>
      </c>
      <c r="B114">
        <v>55.241935483871003</v>
      </c>
    </row>
    <row r="115" spans="1:2" x14ac:dyDescent="0.45">
      <c r="A115">
        <v>56.6666666666667</v>
      </c>
      <c r="B115">
        <v>52.802419354838698</v>
      </c>
    </row>
    <row r="116" spans="1:2" x14ac:dyDescent="0.45">
      <c r="A116">
        <v>36.6666666666667</v>
      </c>
      <c r="B116">
        <v>45.080645161290299</v>
      </c>
    </row>
    <row r="117" spans="1:2" x14ac:dyDescent="0.45">
      <c r="A117">
        <v>43.3333333333333</v>
      </c>
      <c r="B117">
        <v>53.991935483871003</v>
      </c>
    </row>
    <row r="118" spans="1:2" x14ac:dyDescent="0.45">
      <c r="A118">
        <v>43.3333333333333</v>
      </c>
      <c r="B118">
        <v>53.366935483871003</v>
      </c>
    </row>
    <row r="119" spans="1:2" x14ac:dyDescent="0.45">
      <c r="A119">
        <v>46.6666666666667</v>
      </c>
      <c r="B119">
        <v>51.854838709677402</v>
      </c>
    </row>
    <row r="120" spans="1:2" x14ac:dyDescent="0.45">
      <c r="A120">
        <v>43.3333333333333</v>
      </c>
      <c r="B120">
        <v>44.939516129032299</v>
      </c>
    </row>
    <row r="121" spans="1:2" x14ac:dyDescent="0.45">
      <c r="A121">
        <v>56.6666666666667</v>
      </c>
      <c r="B121">
        <v>55.322580645161302</v>
      </c>
    </row>
    <row r="122" spans="1:2" x14ac:dyDescent="0.45">
      <c r="A122">
        <v>60</v>
      </c>
      <c r="B122">
        <v>36.048387096774199</v>
      </c>
    </row>
    <row r="123" spans="1:2" x14ac:dyDescent="0.45">
      <c r="A123" cm="1">
        <f t="array" ref="A123:A132">Sheet1!C50:C59</f>
        <v>46.6666666666667</v>
      </c>
      <c r="B123" cm="1">
        <f t="array" ref="B123:B132">Sheet1!I50:I59</f>
        <v>52.883064516128997</v>
      </c>
    </row>
    <row r="124" spans="1:2" x14ac:dyDescent="0.45">
      <c r="A124">
        <v>40</v>
      </c>
      <c r="B124">
        <v>86.733870967741893</v>
      </c>
    </row>
    <row r="125" spans="1:2" x14ac:dyDescent="0.45">
      <c r="A125">
        <v>70</v>
      </c>
      <c r="B125">
        <v>56.693548387096797</v>
      </c>
    </row>
    <row r="126" spans="1:2" x14ac:dyDescent="0.45">
      <c r="A126">
        <v>23.3333333333333</v>
      </c>
      <c r="B126">
        <v>42.137096774193601</v>
      </c>
    </row>
    <row r="127" spans="1:2" x14ac:dyDescent="0.45">
      <c r="A127">
        <v>40</v>
      </c>
      <c r="B127">
        <v>43.991935483871003</v>
      </c>
    </row>
    <row r="128" spans="1:2" x14ac:dyDescent="0.45">
      <c r="A128">
        <v>43.3333333333333</v>
      </c>
      <c r="B128">
        <v>57.580645161290299</v>
      </c>
    </row>
    <row r="129" spans="1:2" x14ac:dyDescent="0.45">
      <c r="A129">
        <v>63.3333333333333</v>
      </c>
      <c r="B129">
        <v>53.951612903225801</v>
      </c>
    </row>
    <row r="130" spans="1:2" x14ac:dyDescent="0.45">
      <c r="A130">
        <v>63.3333333333333</v>
      </c>
      <c r="B130">
        <v>93.447580645161295</v>
      </c>
    </row>
    <row r="131" spans="1:2" x14ac:dyDescent="0.45">
      <c r="A131">
        <v>56.6666666666667</v>
      </c>
      <c r="B131">
        <v>52.883064516128997</v>
      </c>
    </row>
    <row r="132" spans="1:2" x14ac:dyDescent="0.45">
      <c r="A132">
        <v>40</v>
      </c>
      <c r="B132">
        <v>45.7661290322581</v>
      </c>
    </row>
    <row r="133" spans="1:2" x14ac:dyDescent="0.45">
      <c r="A133" cm="1">
        <f t="array" ref="A133:A142">Sheet1!N50:N59</f>
        <v>50</v>
      </c>
      <c r="B133" cm="1">
        <f t="array" ref="B133:B142">Sheet1!T50:T59</f>
        <v>89.274193548387103</v>
      </c>
    </row>
    <row r="134" spans="1:2" x14ac:dyDescent="0.45">
      <c r="A134">
        <v>50</v>
      </c>
      <c r="B134">
        <v>54.0927419354839</v>
      </c>
    </row>
    <row r="135" spans="1:2" x14ac:dyDescent="0.45">
      <c r="A135">
        <v>43.3333333333333</v>
      </c>
      <c r="B135">
        <v>51.814516129032299</v>
      </c>
    </row>
    <row r="136" spans="1:2" x14ac:dyDescent="0.45">
      <c r="A136">
        <v>36.6666666666667</v>
      </c>
      <c r="B136">
        <v>53.548387096774199</v>
      </c>
    </row>
    <row r="137" spans="1:2" x14ac:dyDescent="0.45">
      <c r="A137">
        <v>43.3333333333333</v>
      </c>
      <c r="B137">
        <v>41.411290322580598</v>
      </c>
    </row>
    <row r="138" spans="1:2" x14ac:dyDescent="0.45">
      <c r="A138">
        <v>30</v>
      </c>
      <c r="B138">
        <v>58.870967741935502</v>
      </c>
    </row>
    <row r="139" spans="1:2" x14ac:dyDescent="0.45">
      <c r="A139">
        <v>36.6666666666667</v>
      </c>
      <c r="B139">
        <v>54.072580645161302</v>
      </c>
    </row>
    <row r="140" spans="1:2" x14ac:dyDescent="0.45">
      <c r="A140">
        <v>30</v>
      </c>
      <c r="B140">
        <v>46.653225806451601</v>
      </c>
    </row>
    <row r="141" spans="1:2" x14ac:dyDescent="0.45">
      <c r="A141">
        <v>36.6666666666667</v>
      </c>
      <c r="B141">
        <v>41.290322580645203</v>
      </c>
    </row>
    <row r="142" spans="1:2" x14ac:dyDescent="0.45">
      <c r="A142">
        <v>66.6666666666667</v>
      </c>
      <c r="B142">
        <v>98.4677419354839</v>
      </c>
    </row>
    <row r="143" spans="1:2" x14ac:dyDescent="0.45">
      <c r="A143" cm="1">
        <f t="array" ref="A143:A152">Sheet1!Y50:Y59</f>
        <v>86.6666666666667</v>
      </c>
      <c r="B143" cm="1">
        <f t="array" ref="B143:B152">Sheet1!AE50:AE59</f>
        <v>99.274193548387103</v>
      </c>
    </row>
    <row r="144" spans="1:2" x14ac:dyDescent="0.45">
      <c r="A144">
        <v>46.6666666666667</v>
      </c>
      <c r="B144">
        <v>44.919354838709701</v>
      </c>
    </row>
    <row r="145" spans="1:2" x14ac:dyDescent="0.45">
      <c r="A145">
        <v>63.3333333333333</v>
      </c>
      <c r="B145">
        <v>44.193548387096797</v>
      </c>
    </row>
    <row r="146" spans="1:2" x14ac:dyDescent="0.45">
      <c r="A146">
        <v>36.6666666666667</v>
      </c>
      <c r="B146">
        <v>46.834677419354797</v>
      </c>
    </row>
    <row r="147" spans="1:2" x14ac:dyDescent="0.45">
      <c r="A147">
        <v>36.6666666666667</v>
      </c>
      <c r="B147">
        <v>54.334677419354797</v>
      </c>
    </row>
    <row r="148" spans="1:2" x14ac:dyDescent="0.45">
      <c r="A148">
        <v>80</v>
      </c>
      <c r="B148">
        <v>99.758064516128997</v>
      </c>
    </row>
    <row r="149" spans="1:2" x14ac:dyDescent="0.45">
      <c r="A149">
        <v>63.3333333333333</v>
      </c>
      <c r="B149">
        <v>55.322580645161302</v>
      </c>
    </row>
    <row r="150" spans="1:2" x14ac:dyDescent="0.45">
      <c r="A150">
        <v>60</v>
      </c>
      <c r="B150">
        <v>57.741935483871003</v>
      </c>
    </row>
    <row r="151" spans="1:2" x14ac:dyDescent="0.45">
      <c r="A151">
        <v>30</v>
      </c>
      <c r="B151">
        <v>79.052419354838705</v>
      </c>
    </row>
    <row r="152" spans="1:2" x14ac:dyDescent="0.45">
      <c r="A152">
        <v>43.3333333333333</v>
      </c>
      <c r="B152">
        <v>40.443548387096797</v>
      </c>
    </row>
    <row r="153" spans="1:2" x14ac:dyDescent="0.45">
      <c r="A153" cm="1">
        <f t="array" ref="A153:A162">Sheet1!AJ50:AJ59</f>
        <v>43.3333333333333</v>
      </c>
      <c r="B153" cm="1">
        <f t="array" ref="B153:B162">Sheet1!AP50:AP59</f>
        <v>45.987903225806399</v>
      </c>
    </row>
    <row r="154" spans="1:2" x14ac:dyDescent="0.45">
      <c r="A154">
        <v>50</v>
      </c>
      <c r="B154">
        <v>46.370967741935502</v>
      </c>
    </row>
    <row r="155" spans="1:2" x14ac:dyDescent="0.45">
      <c r="A155">
        <v>46.6666666666667</v>
      </c>
      <c r="B155">
        <v>93.629032258064498</v>
      </c>
    </row>
    <row r="156" spans="1:2" x14ac:dyDescent="0.45">
      <c r="A156">
        <v>36.6666666666667</v>
      </c>
      <c r="B156">
        <v>51.834677419354797</v>
      </c>
    </row>
    <row r="157" spans="1:2" x14ac:dyDescent="0.45">
      <c r="A157">
        <v>23.3333333333333</v>
      </c>
      <c r="B157">
        <v>37.298387096774199</v>
      </c>
    </row>
    <row r="158" spans="1:2" x14ac:dyDescent="0.45">
      <c r="A158">
        <v>46.6666666666667</v>
      </c>
      <c r="B158">
        <v>41.290322580645203</v>
      </c>
    </row>
    <row r="159" spans="1:2" x14ac:dyDescent="0.45">
      <c r="A159">
        <v>36.6666666666667</v>
      </c>
      <c r="B159">
        <v>47.802419354838698</v>
      </c>
    </row>
    <row r="160" spans="1:2" x14ac:dyDescent="0.45">
      <c r="A160">
        <v>73.3333333333333</v>
      </c>
      <c r="B160">
        <v>57.9838709677419</v>
      </c>
    </row>
    <row r="161" spans="1:2" x14ac:dyDescent="0.45">
      <c r="A161">
        <v>40</v>
      </c>
      <c r="B161">
        <v>67.741935483871003</v>
      </c>
    </row>
    <row r="162" spans="1:2" x14ac:dyDescent="0.45">
      <c r="A162">
        <v>43.3333333333333</v>
      </c>
      <c r="B162">
        <v>46.411290322580598</v>
      </c>
    </row>
    <row r="163" spans="1:2" x14ac:dyDescent="0.45">
      <c r="A163" cm="1">
        <f t="array" ref="A163:A172">Sheet1!C64:C73</f>
        <v>46.6666666666667</v>
      </c>
      <c r="B163" cm="1">
        <f t="array" ref="B163:B172">Sheet1!I64:I73</f>
        <v>43.447580645161302</v>
      </c>
    </row>
    <row r="164" spans="1:2" x14ac:dyDescent="0.45">
      <c r="A164">
        <v>50</v>
      </c>
      <c r="B164">
        <v>96.270161290322605</v>
      </c>
    </row>
    <row r="165" spans="1:2" x14ac:dyDescent="0.45">
      <c r="A165">
        <v>66.6666666666667</v>
      </c>
      <c r="B165">
        <v>52.177419354838698</v>
      </c>
    </row>
    <row r="166" spans="1:2" x14ac:dyDescent="0.45">
      <c r="A166">
        <v>46.6666666666667</v>
      </c>
      <c r="B166">
        <v>97.177419354838705</v>
      </c>
    </row>
    <row r="167" spans="1:2" x14ac:dyDescent="0.45">
      <c r="A167">
        <v>46.6666666666667</v>
      </c>
      <c r="B167">
        <v>93.729838709677395</v>
      </c>
    </row>
    <row r="168" spans="1:2" x14ac:dyDescent="0.45">
      <c r="A168">
        <v>60</v>
      </c>
      <c r="B168">
        <v>56.612903225806399</v>
      </c>
    </row>
    <row r="169" spans="1:2" x14ac:dyDescent="0.45">
      <c r="A169">
        <v>53.3333333333333</v>
      </c>
      <c r="B169">
        <v>56.834677419354797</v>
      </c>
    </row>
    <row r="170" spans="1:2" x14ac:dyDescent="0.45">
      <c r="A170">
        <v>66.6666666666667</v>
      </c>
      <c r="B170">
        <v>52.177419354838698</v>
      </c>
    </row>
    <row r="171" spans="1:2" x14ac:dyDescent="0.45">
      <c r="A171">
        <v>66.6666666666667</v>
      </c>
      <c r="B171">
        <v>53.306451612903203</v>
      </c>
    </row>
    <row r="172" spans="1:2" x14ac:dyDescent="0.45">
      <c r="A172">
        <v>63.3333333333333</v>
      </c>
      <c r="B172">
        <v>55.725806451612897</v>
      </c>
    </row>
    <row r="173" spans="1:2" x14ac:dyDescent="0.45">
      <c r="A173" cm="1">
        <f t="array" ref="A173:A182">Sheet1!N64:N73</f>
        <v>66.6666666666667</v>
      </c>
      <c r="B173" cm="1">
        <f t="array" ref="B173:B182">Sheet1!T64:T73</f>
        <v>52.177419354838698</v>
      </c>
    </row>
    <row r="174" spans="1:2" x14ac:dyDescent="0.45">
      <c r="A174">
        <v>43.3333333333333</v>
      </c>
      <c r="B174">
        <v>93.306451612903203</v>
      </c>
    </row>
    <row r="175" spans="1:2" x14ac:dyDescent="0.45">
      <c r="A175">
        <v>50</v>
      </c>
      <c r="B175">
        <v>45.302419354838698</v>
      </c>
    </row>
    <row r="176" spans="1:2" x14ac:dyDescent="0.45">
      <c r="A176">
        <v>23.3333333333333</v>
      </c>
      <c r="B176">
        <v>49.5161290322581</v>
      </c>
    </row>
    <row r="177" spans="1:2" x14ac:dyDescent="0.45">
      <c r="A177">
        <v>63.3333333333333</v>
      </c>
      <c r="B177">
        <v>45.322580645161302</v>
      </c>
    </row>
    <row r="178" spans="1:2" x14ac:dyDescent="0.45">
      <c r="A178">
        <v>16.6666666666667</v>
      </c>
      <c r="B178">
        <v>46.895161290322598</v>
      </c>
    </row>
    <row r="179" spans="1:2" x14ac:dyDescent="0.45">
      <c r="A179">
        <v>56.6666666666667</v>
      </c>
      <c r="B179">
        <v>52.0161290322581</v>
      </c>
    </row>
    <row r="180" spans="1:2" x14ac:dyDescent="0.45">
      <c r="A180">
        <v>46.6666666666667</v>
      </c>
      <c r="B180">
        <v>40.504032258064498</v>
      </c>
    </row>
    <row r="181" spans="1:2" x14ac:dyDescent="0.45">
      <c r="A181">
        <v>60</v>
      </c>
      <c r="B181">
        <v>55.564516129032299</v>
      </c>
    </row>
    <row r="182" spans="1:2" x14ac:dyDescent="0.45">
      <c r="A182">
        <v>63.3333333333333</v>
      </c>
      <c r="B182">
        <v>93.608870967741893</v>
      </c>
    </row>
    <row r="183" spans="1:2" x14ac:dyDescent="0.45">
      <c r="A183" cm="1">
        <f t="array" ref="A183:A192">Sheet1!Y64:Y73</f>
        <v>73.3333333333333</v>
      </c>
      <c r="B183" cm="1">
        <f t="array" ref="B183:B192">Sheet1!AE64:AE73</f>
        <v>98.629032258064498</v>
      </c>
    </row>
    <row r="184" spans="1:2" x14ac:dyDescent="0.45">
      <c r="A184">
        <v>80</v>
      </c>
      <c r="B184">
        <v>57.9838709677419</v>
      </c>
    </row>
    <row r="185" spans="1:2" x14ac:dyDescent="0.45">
      <c r="A185">
        <v>53.3333333333333</v>
      </c>
      <c r="B185">
        <v>92.278225806451601</v>
      </c>
    </row>
    <row r="186" spans="1:2" x14ac:dyDescent="0.45">
      <c r="A186">
        <v>23.3333333333333</v>
      </c>
      <c r="B186">
        <v>40.020161290322598</v>
      </c>
    </row>
    <row r="187" spans="1:2" x14ac:dyDescent="0.45">
      <c r="A187">
        <v>33.3333333333333</v>
      </c>
      <c r="B187">
        <v>67.358870967741893</v>
      </c>
    </row>
    <row r="188" spans="1:2" x14ac:dyDescent="0.45">
      <c r="A188">
        <v>73.3333333333333</v>
      </c>
      <c r="B188">
        <v>58.548387096774199</v>
      </c>
    </row>
    <row r="189" spans="1:2" x14ac:dyDescent="0.45">
      <c r="A189">
        <v>56.6666666666667</v>
      </c>
      <c r="B189">
        <v>56.270161290322598</v>
      </c>
    </row>
    <row r="190" spans="1:2" x14ac:dyDescent="0.45">
      <c r="A190">
        <v>40</v>
      </c>
      <c r="B190">
        <v>55.383064516128997</v>
      </c>
    </row>
    <row r="191" spans="1:2" x14ac:dyDescent="0.45">
      <c r="A191">
        <v>53.3333333333333</v>
      </c>
      <c r="B191">
        <v>55.241935483871003</v>
      </c>
    </row>
    <row r="192" spans="1:2" x14ac:dyDescent="0.45">
      <c r="A192">
        <v>63.3333333333333</v>
      </c>
      <c r="B192">
        <v>57.822580645161302</v>
      </c>
    </row>
    <row r="193" spans="1:2" x14ac:dyDescent="0.45">
      <c r="A193" cm="1">
        <f t="array" ref="A193:A202">Sheet1!AJ64:AJ73</f>
        <v>50</v>
      </c>
      <c r="B193" cm="1">
        <f t="array" ref="B193:B202">Sheet1!AP64:AP73</f>
        <v>49.435483870967701</v>
      </c>
    </row>
    <row r="194" spans="1:2" x14ac:dyDescent="0.45">
      <c r="A194">
        <v>56.6666666666667</v>
      </c>
      <c r="B194">
        <v>89.274193548387103</v>
      </c>
    </row>
    <row r="195" spans="1:2" x14ac:dyDescent="0.45">
      <c r="A195">
        <v>46.6666666666667</v>
      </c>
      <c r="B195">
        <v>65.725806451612897</v>
      </c>
    </row>
    <row r="196" spans="1:2" x14ac:dyDescent="0.45">
      <c r="A196">
        <v>23.3333333333333</v>
      </c>
      <c r="B196">
        <v>37.278225806451601</v>
      </c>
    </row>
    <row r="197" spans="1:2" x14ac:dyDescent="0.45">
      <c r="A197">
        <v>23.3333333333333</v>
      </c>
      <c r="B197">
        <v>45.745967741935502</v>
      </c>
    </row>
    <row r="198" spans="1:2" x14ac:dyDescent="0.45">
      <c r="A198">
        <v>46.6666666666667</v>
      </c>
      <c r="B198">
        <v>38.649193548387103</v>
      </c>
    </row>
    <row r="199" spans="1:2" x14ac:dyDescent="0.45">
      <c r="A199">
        <v>23.3333333333333</v>
      </c>
      <c r="B199">
        <v>43.568548387096797</v>
      </c>
    </row>
    <row r="200" spans="1:2" x14ac:dyDescent="0.45">
      <c r="A200">
        <v>50</v>
      </c>
      <c r="B200">
        <v>44.677419354838698</v>
      </c>
    </row>
    <row r="201" spans="1:2" x14ac:dyDescent="0.45">
      <c r="A201">
        <v>53.3333333333333</v>
      </c>
      <c r="B201">
        <v>58.225806451612897</v>
      </c>
    </row>
    <row r="202" spans="1:2" x14ac:dyDescent="0.45">
      <c r="A202">
        <v>33.3333333333333</v>
      </c>
      <c r="B202">
        <v>47.661290322580598</v>
      </c>
    </row>
    <row r="203" spans="1:2" x14ac:dyDescent="0.45">
      <c r="A203" cm="1">
        <f t="array" ref="A203:A212">Sheet1!C78:C87</f>
        <v>46.6666666666667</v>
      </c>
      <c r="B203" cm="1">
        <f t="array" ref="B203:B212">Sheet1!I78:I87</f>
        <v>50.705645161290299</v>
      </c>
    </row>
    <row r="204" spans="1:2" x14ac:dyDescent="0.45">
      <c r="A204">
        <v>33.3333333333333</v>
      </c>
      <c r="B204">
        <v>47.620967741935502</v>
      </c>
    </row>
    <row r="205" spans="1:2" x14ac:dyDescent="0.45">
      <c r="A205">
        <v>50</v>
      </c>
      <c r="B205">
        <v>56.028225806451601</v>
      </c>
    </row>
    <row r="206" spans="1:2" x14ac:dyDescent="0.45">
      <c r="A206">
        <v>50</v>
      </c>
      <c r="B206">
        <v>54.012096774193601</v>
      </c>
    </row>
    <row r="207" spans="1:2" x14ac:dyDescent="0.45">
      <c r="A207">
        <v>50</v>
      </c>
      <c r="B207">
        <v>56.935483870967701</v>
      </c>
    </row>
    <row r="208" spans="1:2" x14ac:dyDescent="0.45">
      <c r="A208">
        <v>43.3333333333333</v>
      </c>
      <c r="B208">
        <v>47.661290322580598</v>
      </c>
    </row>
    <row r="209" spans="1:2" x14ac:dyDescent="0.45">
      <c r="A209">
        <v>56.6666666666667</v>
      </c>
      <c r="B209">
        <v>52.0161290322581</v>
      </c>
    </row>
    <row r="210" spans="1:2" x14ac:dyDescent="0.45">
      <c r="A210">
        <v>33.3333333333333</v>
      </c>
      <c r="B210">
        <v>88.709677419354804</v>
      </c>
    </row>
    <row r="211" spans="1:2" x14ac:dyDescent="0.45">
      <c r="A211">
        <v>26.6666666666667</v>
      </c>
      <c r="B211">
        <v>47.137096774193601</v>
      </c>
    </row>
    <row r="212" spans="1:2" x14ac:dyDescent="0.45">
      <c r="A212">
        <v>16.6666666666667</v>
      </c>
      <c r="B212">
        <v>39.0927419354839</v>
      </c>
    </row>
    <row r="213" spans="1:2" x14ac:dyDescent="0.45">
      <c r="A213" cm="1">
        <f t="array" ref="A213:A222">Sheet1!N78:N87</f>
        <v>50</v>
      </c>
      <c r="B213" cm="1">
        <f t="array" ref="B213:B222">Sheet1!T78:T87</f>
        <v>38.4677419354839</v>
      </c>
    </row>
    <row r="214" spans="1:2" x14ac:dyDescent="0.45">
      <c r="A214">
        <v>20</v>
      </c>
      <c r="B214">
        <v>87.1572580645161</v>
      </c>
    </row>
    <row r="215" spans="1:2" x14ac:dyDescent="0.45">
      <c r="A215">
        <v>53.3333333333333</v>
      </c>
      <c r="B215">
        <v>47.419354838709701</v>
      </c>
    </row>
    <row r="216" spans="1:2" x14ac:dyDescent="0.45">
      <c r="A216">
        <v>60</v>
      </c>
      <c r="B216">
        <v>72.580645161290306</v>
      </c>
    </row>
    <row r="217" spans="1:2" x14ac:dyDescent="0.45">
      <c r="A217">
        <v>43.3333333333333</v>
      </c>
      <c r="B217">
        <v>76.975806451612897</v>
      </c>
    </row>
    <row r="218" spans="1:2" x14ac:dyDescent="0.45">
      <c r="A218">
        <v>20</v>
      </c>
      <c r="B218">
        <v>34.254032258064498</v>
      </c>
    </row>
    <row r="219" spans="1:2" x14ac:dyDescent="0.45">
      <c r="A219">
        <v>76.6666666666667</v>
      </c>
      <c r="B219">
        <v>48.306451612903203</v>
      </c>
    </row>
    <row r="220" spans="1:2" x14ac:dyDescent="0.45">
      <c r="A220">
        <v>40</v>
      </c>
      <c r="B220">
        <v>94.133064516128997</v>
      </c>
    </row>
    <row r="221" spans="1:2" x14ac:dyDescent="0.45">
      <c r="A221">
        <v>60</v>
      </c>
      <c r="B221">
        <v>68.790322580645196</v>
      </c>
    </row>
    <row r="222" spans="1:2" x14ac:dyDescent="0.45">
      <c r="A222">
        <v>50</v>
      </c>
      <c r="B222">
        <v>43.931451612903203</v>
      </c>
    </row>
    <row r="223" spans="1:2" x14ac:dyDescent="0.45">
      <c r="A223" cm="1">
        <f t="array" ref="A223:A232">Sheet1!Y78:Y87</f>
        <v>60</v>
      </c>
      <c r="B223" cm="1">
        <f t="array" ref="B223:B232">Sheet1!AE78:AE87</f>
        <v>57.741935483871003</v>
      </c>
    </row>
    <row r="224" spans="1:2" x14ac:dyDescent="0.45">
      <c r="A224">
        <v>40</v>
      </c>
      <c r="B224">
        <v>43.850806451612897</v>
      </c>
    </row>
    <row r="225" spans="1:2" x14ac:dyDescent="0.45">
      <c r="A225">
        <v>40</v>
      </c>
      <c r="B225">
        <v>39.213709677419402</v>
      </c>
    </row>
    <row r="226" spans="1:2" x14ac:dyDescent="0.45">
      <c r="A226">
        <v>46.6666666666667</v>
      </c>
      <c r="B226">
        <v>53.548387096774199</v>
      </c>
    </row>
    <row r="227" spans="1:2" x14ac:dyDescent="0.45">
      <c r="A227">
        <v>40</v>
      </c>
      <c r="B227">
        <v>47.076612903225801</v>
      </c>
    </row>
    <row r="228" spans="1:2" x14ac:dyDescent="0.45">
      <c r="A228">
        <v>60</v>
      </c>
      <c r="B228">
        <v>92.741935483871003</v>
      </c>
    </row>
    <row r="229" spans="1:2" x14ac:dyDescent="0.45">
      <c r="A229">
        <v>53.3333333333333</v>
      </c>
      <c r="B229">
        <v>56.048387096774199</v>
      </c>
    </row>
    <row r="230" spans="1:2" x14ac:dyDescent="0.45">
      <c r="A230">
        <v>33.3333333333333</v>
      </c>
      <c r="B230">
        <v>69.294354838709694</v>
      </c>
    </row>
    <row r="231" spans="1:2" x14ac:dyDescent="0.45">
      <c r="A231">
        <v>53.3333333333333</v>
      </c>
      <c r="B231">
        <v>56.7338709677419</v>
      </c>
    </row>
    <row r="232" spans="1:2" x14ac:dyDescent="0.45">
      <c r="A232">
        <v>36.6666666666667</v>
      </c>
      <c r="B232">
        <v>67.298387096774206</v>
      </c>
    </row>
    <row r="233" spans="1:2" x14ac:dyDescent="0.45">
      <c r="A233" cm="1">
        <f t="array" ref="A233:A242">Sheet1!AJ78:AJ87</f>
        <v>46.6666666666667</v>
      </c>
      <c r="B233" cm="1">
        <f t="array" ref="B233:B242">Sheet1!AP78:AP87</f>
        <v>54.5161290322581</v>
      </c>
    </row>
    <row r="234" spans="1:2" x14ac:dyDescent="0.45">
      <c r="A234">
        <v>40</v>
      </c>
      <c r="B234">
        <v>51.149193548387103</v>
      </c>
    </row>
    <row r="235" spans="1:2" x14ac:dyDescent="0.45">
      <c r="A235">
        <v>60</v>
      </c>
      <c r="B235">
        <v>94.072580645161295</v>
      </c>
    </row>
    <row r="236" spans="1:2" x14ac:dyDescent="0.45">
      <c r="A236">
        <v>50</v>
      </c>
      <c r="B236">
        <v>48.588709677419402</v>
      </c>
    </row>
    <row r="237" spans="1:2" x14ac:dyDescent="0.45">
      <c r="A237">
        <v>53.3333333333333</v>
      </c>
      <c r="B237">
        <v>94.193548387096797</v>
      </c>
    </row>
    <row r="238" spans="1:2" x14ac:dyDescent="0.45">
      <c r="A238">
        <v>40</v>
      </c>
      <c r="B238">
        <v>55</v>
      </c>
    </row>
    <row r="239" spans="1:2" x14ac:dyDescent="0.45">
      <c r="A239">
        <v>56.6666666666667</v>
      </c>
      <c r="B239">
        <v>68.548387096774206</v>
      </c>
    </row>
    <row r="240" spans="1:2" x14ac:dyDescent="0.45">
      <c r="A240">
        <v>53.3333333333333</v>
      </c>
      <c r="B240">
        <v>57.7822580645161</v>
      </c>
    </row>
    <row r="241" spans="1:2" x14ac:dyDescent="0.45">
      <c r="A241">
        <v>53.3333333333333</v>
      </c>
      <c r="B241">
        <v>68.4677419354839</v>
      </c>
    </row>
    <row r="242" spans="1:2" x14ac:dyDescent="0.45">
      <c r="A242">
        <v>70</v>
      </c>
      <c r="B242">
        <v>58.044354838709701</v>
      </c>
    </row>
    <row r="243" spans="1:2" x14ac:dyDescent="0.45">
      <c r="A243" cm="1">
        <f t="array" ref="A243:A252">Sheet1!C91:C100</f>
        <v>56.6666666666667</v>
      </c>
      <c r="B243" cm="1">
        <f t="array" ref="B243:B252">Sheet1!I91:I100</f>
        <v>98.306451612903203</v>
      </c>
    </row>
    <row r="244" spans="1:2" x14ac:dyDescent="0.45">
      <c r="A244">
        <v>33.3333333333333</v>
      </c>
      <c r="B244">
        <v>38.366935483871003</v>
      </c>
    </row>
    <row r="245" spans="1:2" x14ac:dyDescent="0.45">
      <c r="A245">
        <v>76.6666666666667</v>
      </c>
      <c r="B245">
        <v>93.548387096774206</v>
      </c>
    </row>
    <row r="246" spans="1:2" x14ac:dyDescent="0.45">
      <c r="A246">
        <v>50</v>
      </c>
      <c r="B246">
        <v>71.854838709677395</v>
      </c>
    </row>
    <row r="247" spans="1:2" x14ac:dyDescent="0.45">
      <c r="A247">
        <v>63.3333333333333</v>
      </c>
      <c r="B247">
        <v>93.790322580645196</v>
      </c>
    </row>
    <row r="248" spans="1:2" x14ac:dyDescent="0.45">
      <c r="A248">
        <v>66.6666666666667</v>
      </c>
      <c r="B248">
        <v>50.4838709677419</v>
      </c>
    </row>
    <row r="249" spans="1:2" x14ac:dyDescent="0.45">
      <c r="A249">
        <v>40</v>
      </c>
      <c r="B249">
        <v>55.221774193548399</v>
      </c>
    </row>
    <row r="250" spans="1:2" x14ac:dyDescent="0.45">
      <c r="A250">
        <v>43.3333333333333</v>
      </c>
      <c r="B250">
        <v>46.754032258064498</v>
      </c>
    </row>
    <row r="251" spans="1:2" x14ac:dyDescent="0.45">
      <c r="A251">
        <v>30</v>
      </c>
      <c r="B251">
        <v>52.802419354838698</v>
      </c>
    </row>
    <row r="252" spans="1:2" x14ac:dyDescent="0.45">
      <c r="A252">
        <v>33.3333333333333</v>
      </c>
      <c r="B252">
        <v>91.451612903225794</v>
      </c>
    </row>
    <row r="253" spans="1:2" x14ac:dyDescent="0.45">
      <c r="A253" cm="1">
        <f t="array" ref="A253:A262">Sheet1!N91:N100</f>
        <v>40</v>
      </c>
      <c r="B253" cm="1">
        <f t="array" ref="B253:B262">Sheet1!T91:T100</f>
        <v>88.004032258064498</v>
      </c>
    </row>
    <row r="254" spans="1:2" x14ac:dyDescent="0.45">
      <c r="A254">
        <v>46.6666666666667</v>
      </c>
      <c r="B254">
        <v>50.100806451612897</v>
      </c>
    </row>
    <row r="255" spans="1:2" x14ac:dyDescent="0.45">
      <c r="A255">
        <v>53.3333333333333</v>
      </c>
      <c r="B255">
        <v>43.185483870967701</v>
      </c>
    </row>
    <row r="256" spans="1:2" x14ac:dyDescent="0.45">
      <c r="A256">
        <v>73.3333333333333</v>
      </c>
      <c r="B256">
        <v>55.4838709677419</v>
      </c>
    </row>
    <row r="257" spans="1:2" x14ac:dyDescent="0.45">
      <c r="A257">
        <v>60</v>
      </c>
      <c r="B257">
        <v>57.822580645161302</v>
      </c>
    </row>
    <row r="258" spans="1:2" x14ac:dyDescent="0.45">
      <c r="A258">
        <v>46.6666666666667</v>
      </c>
      <c r="B258">
        <v>52.479838709677402</v>
      </c>
    </row>
    <row r="259" spans="1:2" x14ac:dyDescent="0.45">
      <c r="A259">
        <v>40</v>
      </c>
      <c r="B259">
        <v>88.951612903225794</v>
      </c>
    </row>
    <row r="260" spans="1:2" x14ac:dyDescent="0.45">
      <c r="A260">
        <v>56.6666666666667</v>
      </c>
      <c r="B260">
        <v>53.790322580645203</v>
      </c>
    </row>
    <row r="261" spans="1:2" x14ac:dyDescent="0.45">
      <c r="A261">
        <v>40</v>
      </c>
      <c r="B261">
        <v>55.4838709677419</v>
      </c>
    </row>
    <row r="262" spans="1:2" x14ac:dyDescent="0.45">
      <c r="A262">
        <v>50</v>
      </c>
      <c r="B262">
        <v>54.354838709677402</v>
      </c>
    </row>
    <row r="263" spans="1:2" x14ac:dyDescent="0.45">
      <c r="A263" cm="1">
        <f t="array" ref="A263:A272">Sheet1!Y91:Y100</f>
        <v>26.6666666666667</v>
      </c>
      <c r="B263" cm="1">
        <f t="array" ref="B263:B272">Sheet1!AE91:AE100</f>
        <v>37.258064516128997</v>
      </c>
    </row>
    <row r="264" spans="1:2" x14ac:dyDescent="0.45">
      <c r="A264">
        <v>63.3333333333333</v>
      </c>
      <c r="B264">
        <v>46.048387096774199</v>
      </c>
    </row>
    <row r="265" spans="1:2" x14ac:dyDescent="0.45">
      <c r="A265">
        <v>50</v>
      </c>
      <c r="B265">
        <v>57.237903225806399</v>
      </c>
    </row>
    <row r="266" spans="1:2" x14ac:dyDescent="0.45">
      <c r="A266">
        <v>26.6666666666667</v>
      </c>
      <c r="B266">
        <v>58.4677419354839</v>
      </c>
    </row>
    <row r="267" spans="1:2" x14ac:dyDescent="0.45">
      <c r="A267">
        <v>43.3333333333333</v>
      </c>
      <c r="B267">
        <v>94.072580645161295</v>
      </c>
    </row>
    <row r="268" spans="1:2" x14ac:dyDescent="0.45">
      <c r="A268">
        <v>46.6666666666667</v>
      </c>
      <c r="B268">
        <v>52.9838709677419</v>
      </c>
    </row>
    <row r="269" spans="1:2" x14ac:dyDescent="0.45">
      <c r="A269">
        <v>36.6666666666667</v>
      </c>
      <c r="B269">
        <v>47.3588709677419</v>
      </c>
    </row>
    <row r="270" spans="1:2" x14ac:dyDescent="0.45">
      <c r="A270">
        <v>53.3333333333333</v>
      </c>
      <c r="B270">
        <v>52.419354838709701</v>
      </c>
    </row>
    <row r="271" spans="1:2" x14ac:dyDescent="0.45">
      <c r="A271">
        <v>63.3333333333333</v>
      </c>
      <c r="B271">
        <v>52.096774193548399</v>
      </c>
    </row>
    <row r="272" spans="1:2" x14ac:dyDescent="0.45">
      <c r="A272">
        <v>40</v>
      </c>
      <c r="B272">
        <v>52.903225806451601</v>
      </c>
    </row>
    <row r="273" spans="1:2" x14ac:dyDescent="0.45">
      <c r="A273" cm="1">
        <f t="array" ref="A273:A282">Sheet1!AJ91:AJ100</f>
        <v>46.6666666666667</v>
      </c>
      <c r="B273" cm="1">
        <f t="array" ref="B273:B282">Sheet1!AP91:AP100</f>
        <v>52.258064516128997</v>
      </c>
    </row>
    <row r="274" spans="1:2" x14ac:dyDescent="0.45">
      <c r="A274">
        <v>50</v>
      </c>
      <c r="B274">
        <v>37.177419354838698</v>
      </c>
    </row>
    <row r="275" spans="1:2" x14ac:dyDescent="0.45">
      <c r="A275">
        <v>56.6666666666667</v>
      </c>
      <c r="B275">
        <v>46.612903225806399</v>
      </c>
    </row>
    <row r="276" spans="1:2" x14ac:dyDescent="0.45">
      <c r="A276">
        <v>53.3333333333333</v>
      </c>
      <c r="B276">
        <v>54.354838709677402</v>
      </c>
    </row>
    <row r="277" spans="1:2" x14ac:dyDescent="0.45">
      <c r="A277">
        <v>70</v>
      </c>
      <c r="B277">
        <v>48.387096774193601</v>
      </c>
    </row>
    <row r="278" spans="1:2" x14ac:dyDescent="0.45">
      <c r="A278">
        <v>63.3333333333333</v>
      </c>
      <c r="B278">
        <v>56.612903225806399</v>
      </c>
    </row>
    <row r="279" spans="1:2" x14ac:dyDescent="0.45">
      <c r="A279">
        <v>63.3333333333333</v>
      </c>
      <c r="B279">
        <v>70.564516129032299</v>
      </c>
    </row>
    <row r="280" spans="1:2" x14ac:dyDescent="0.45">
      <c r="A280">
        <v>33.3333333333333</v>
      </c>
      <c r="B280">
        <v>35.2822580645161</v>
      </c>
    </row>
    <row r="281" spans="1:2" x14ac:dyDescent="0.45">
      <c r="A281">
        <v>43.3333333333333</v>
      </c>
      <c r="B281">
        <v>47.661290322580598</v>
      </c>
    </row>
    <row r="282" spans="1:2" x14ac:dyDescent="0.45">
      <c r="A282">
        <v>46.6666666666667</v>
      </c>
      <c r="B282">
        <v>52.620967741935502</v>
      </c>
    </row>
    <row r="283" spans="1:2" x14ac:dyDescent="0.45">
      <c r="A283" cm="1">
        <f t="array" ref="A283:A292">Sheet1!C104:C113</f>
        <v>50</v>
      </c>
      <c r="B283" cm="1">
        <f t="array" ref="B283:B292">Sheet1!I104:I113</f>
        <v>57.0161290322581</v>
      </c>
    </row>
    <row r="284" spans="1:2" x14ac:dyDescent="0.45">
      <c r="A284">
        <v>36.6666666666667</v>
      </c>
      <c r="B284">
        <v>92.7822580645161</v>
      </c>
    </row>
    <row r="285" spans="1:2" x14ac:dyDescent="0.45">
      <c r="A285">
        <v>43.3333333333333</v>
      </c>
      <c r="B285">
        <v>98.4072580645161</v>
      </c>
    </row>
    <row r="286" spans="1:2" x14ac:dyDescent="0.45">
      <c r="A286">
        <v>36.6666666666667</v>
      </c>
      <c r="B286">
        <v>87.379032258064498</v>
      </c>
    </row>
    <row r="287" spans="1:2" x14ac:dyDescent="0.45">
      <c r="A287">
        <v>70</v>
      </c>
      <c r="B287">
        <v>94.516129032258107</v>
      </c>
    </row>
    <row r="288" spans="1:2" x14ac:dyDescent="0.45">
      <c r="A288">
        <v>53.3333333333333</v>
      </c>
      <c r="B288">
        <v>43.629032258064498</v>
      </c>
    </row>
    <row r="289" spans="1:2" x14ac:dyDescent="0.45">
      <c r="A289">
        <v>40</v>
      </c>
      <c r="B289">
        <v>42.741935483871003</v>
      </c>
    </row>
    <row r="290" spans="1:2" x14ac:dyDescent="0.45">
      <c r="A290">
        <v>40</v>
      </c>
      <c r="B290">
        <v>87.681451612903203</v>
      </c>
    </row>
    <row r="291" spans="1:2" x14ac:dyDescent="0.45">
      <c r="A291">
        <v>33.3333333333333</v>
      </c>
      <c r="B291">
        <v>91.169354838709694</v>
      </c>
    </row>
    <row r="292" spans="1:2" x14ac:dyDescent="0.45">
      <c r="A292">
        <v>56.6666666666667</v>
      </c>
      <c r="B292">
        <v>69.294354838709694</v>
      </c>
    </row>
    <row r="293" spans="1:2" x14ac:dyDescent="0.45">
      <c r="A293" cm="1">
        <f t="array" ref="A293:A302">Sheet1!N104:N113</f>
        <v>36.6666666666667</v>
      </c>
      <c r="B293" cm="1">
        <f t="array" ref="B293:B302">Sheet1!T104:T113</f>
        <v>93.4677419354839</v>
      </c>
    </row>
    <row r="294" spans="1:2" x14ac:dyDescent="0.45">
      <c r="A294">
        <v>53.3333333333333</v>
      </c>
      <c r="B294">
        <v>43.790322580645203</v>
      </c>
    </row>
    <row r="295" spans="1:2" x14ac:dyDescent="0.45">
      <c r="A295">
        <v>70</v>
      </c>
      <c r="B295">
        <v>93.931451612903203</v>
      </c>
    </row>
    <row r="296" spans="1:2" x14ac:dyDescent="0.45">
      <c r="A296">
        <v>60</v>
      </c>
      <c r="B296">
        <v>45.645161290322598</v>
      </c>
    </row>
    <row r="297" spans="1:2" x14ac:dyDescent="0.45">
      <c r="A297">
        <v>13.3333333333333</v>
      </c>
      <c r="B297">
        <v>85.584677419354804</v>
      </c>
    </row>
    <row r="298" spans="1:2" x14ac:dyDescent="0.45">
      <c r="A298">
        <v>40</v>
      </c>
      <c r="B298">
        <v>68.286290322580598</v>
      </c>
    </row>
    <row r="299" spans="1:2" x14ac:dyDescent="0.45">
      <c r="A299">
        <v>36.6666666666667</v>
      </c>
      <c r="B299">
        <v>43.669354838709701</v>
      </c>
    </row>
    <row r="300" spans="1:2" x14ac:dyDescent="0.45">
      <c r="A300">
        <v>43.3333333333333</v>
      </c>
      <c r="B300">
        <v>56.491935483871003</v>
      </c>
    </row>
    <row r="301" spans="1:2" x14ac:dyDescent="0.45">
      <c r="A301">
        <v>53.3333333333333</v>
      </c>
      <c r="B301">
        <v>59.737903225806399</v>
      </c>
    </row>
    <row r="302" spans="1:2" x14ac:dyDescent="0.45">
      <c r="A302">
        <v>23.3333333333333</v>
      </c>
      <c r="B302">
        <v>92.358870967741893</v>
      </c>
    </row>
    <row r="303" spans="1:2" x14ac:dyDescent="0.45">
      <c r="A303" cm="1">
        <f t="array" ref="A303:A312">Sheet1!Y104:Y113</f>
        <v>80</v>
      </c>
      <c r="B303" cm="1">
        <f t="array" ref="B303:B312">Sheet1!AE104:AE113</f>
        <v>94.112903225806406</v>
      </c>
    </row>
    <row r="304" spans="1:2" x14ac:dyDescent="0.45">
      <c r="A304">
        <v>53.3333333333333</v>
      </c>
      <c r="B304">
        <v>52.419354838709701</v>
      </c>
    </row>
    <row r="305" spans="1:2" x14ac:dyDescent="0.45">
      <c r="A305">
        <v>33.3333333333333</v>
      </c>
      <c r="B305">
        <v>42.096774193548399</v>
      </c>
    </row>
    <row r="306" spans="1:2" x14ac:dyDescent="0.45">
      <c r="A306">
        <v>30</v>
      </c>
      <c r="B306">
        <v>44.536290322580598</v>
      </c>
    </row>
    <row r="307" spans="1:2" x14ac:dyDescent="0.45">
      <c r="A307">
        <v>33.3333333333333</v>
      </c>
      <c r="B307">
        <v>54.475806451612897</v>
      </c>
    </row>
    <row r="308" spans="1:2" x14ac:dyDescent="0.45">
      <c r="A308">
        <v>33.3333333333333</v>
      </c>
      <c r="B308">
        <v>53.850806451612897</v>
      </c>
    </row>
    <row r="309" spans="1:2" x14ac:dyDescent="0.45">
      <c r="A309">
        <v>63.3333333333333</v>
      </c>
      <c r="B309">
        <v>55.322580645161302</v>
      </c>
    </row>
    <row r="310" spans="1:2" x14ac:dyDescent="0.45">
      <c r="A310">
        <v>73.3333333333333</v>
      </c>
      <c r="B310">
        <v>52.822580645161302</v>
      </c>
    </row>
    <row r="311" spans="1:2" x14ac:dyDescent="0.45">
      <c r="A311">
        <v>63.3333333333333</v>
      </c>
      <c r="B311">
        <v>97.903225806451601</v>
      </c>
    </row>
    <row r="312" spans="1:2" x14ac:dyDescent="0.45">
      <c r="A312">
        <v>43.3333333333333</v>
      </c>
      <c r="B312">
        <v>44.354838709677402</v>
      </c>
    </row>
    <row r="313" spans="1:2" x14ac:dyDescent="0.45">
      <c r="A313" cm="1">
        <f t="array" ref="A313:A322">Sheet1!AJ104:AJ113</f>
        <v>26.6666666666667</v>
      </c>
      <c r="B313" cm="1">
        <f t="array" ref="B313:B322">Sheet1!AP104:AP113</f>
        <v>38.790322580645203</v>
      </c>
    </row>
    <row r="314" spans="1:2" x14ac:dyDescent="0.45">
      <c r="A314">
        <v>46.6666666666667</v>
      </c>
      <c r="B314">
        <v>97.661290322580598</v>
      </c>
    </row>
    <row r="315" spans="1:2" x14ac:dyDescent="0.45">
      <c r="A315">
        <v>50</v>
      </c>
      <c r="B315">
        <v>50.866935483871003</v>
      </c>
    </row>
    <row r="316" spans="1:2" x14ac:dyDescent="0.45">
      <c r="A316">
        <v>33.3333333333333</v>
      </c>
      <c r="B316">
        <v>44.979838709677402</v>
      </c>
    </row>
    <row r="317" spans="1:2" x14ac:dyDescent="0.45">
      <c r="A317">
        <v>73.3333333333333</v>
      </c>
      <c r="B317">
        <v>53.387096774193601</v>
      </c>
    </row>
    <row r="318" spans="1:2" x14ac:dyDescent="0.45">
      <c r="A318">
        <v>26.6666666666667</v>
      </c>
      <c r="B318">
        <v>50.060483870967701</v>
      </c>
    </row>
    <row r="319" spans="1:2" x14ac:dyDescent="0.45">
      <c r="A319">
        <v>30</v>
      </c>
      <c r="B319">
        <v>44.0927419354839</v>
      </c>
    </row>
    <row r="320" spans="1:2" x14ac:dyDescent="0.45">
      <c r="A320">
        <v>40</v>
      </c>
      <c r="B320">
        <v>86.995967741935502</v>
      </c>
    </row>
    <row r="321" spans="1:2" x14ac:dyDescent="0.45">
      <c r="A321">
        <v>46.6666666666667</v>
      </c>
      <c r="B321">
        <v>46.431451612903203</v>
      </c>
    </row>
    <row r="322" spans="1:2" x14ac:dyDescent="0.45">
      <c r="A322">
        <v>43.3333333333333</v>
      </c>
      <c r="B322">
        <v>46.270161290322598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CARLIN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2025-07-28T20:40:44Z</dcterms:created>
  <dcterms:modified xsi:type="dcterms:W3CDTF">2026-04-26T20:23:44Z</dcterms:modified>
</cp:coreProperties>
</file>